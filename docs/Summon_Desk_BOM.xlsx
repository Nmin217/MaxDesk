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OM" sheetId="1" state="visible" r:id="rId3"/>
    <sheet name="Summary" sheetId="2" state="visible" r:id="rId4"/>
    <sheet name="Alt options" sheetId="3" state="visible" r:id="rId5"/>
    <sheet name="Notes &amp; sources" sheetId="4" state="visible" r:id="rId6"/>
  </sheets>
  <definedNames>
    <definedName function="false" hidden="true" localSheetId="0" name="_xlnm._FilterDatabase" vbProcedure="false">BOM!$A$4:$K$59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<sst xmlns="http://schemas.openxmlformats.org/spreadsheetml/2006/main" count="445" uniqueCount="227">
  <si>
    <t xml:space="preserve">Summon Desk - Bill of Materials</t>
  </si>
  <si>
    <t xml:space="preserve">Version 6: UPS instead of the Anker, no desk lowering (no Humanscale wiring), plug-in charging station with a breakaway cord and interlock. Based on your wiring diagram. All prices USD. Blue = inputs you can edit (Qty, Unit price). Black = formulas. "Verified" = price seen this session at the source shown; "Estimate" = my estimate, check before ordering.</t>
  </si>
  <si>
    <t xml:space="preserve">#</t>
  </si>
  <si>
    <t xml:space="preserve">Category</t>
  </si>
  <si>
    <t xml:space="preserve">Item</t>
  </si>
  <si>
    <t xml:space="preserve">Part / model</t>
  </si>
  <si>
    <t xml:space="preserve">Qty</t>
  </si>
  <si>
    <t xml:space="preserve">Unit price ($)</t>
  </si>
  <si>
    <t xml:space="preserve">Extended ($)</t>
  </si>
  <si>
    <t xml:space="preserve">Status</t>
  </si>
  <si>
    <t xml:space="preserve">Price status</t>
  </si>
  <si>
    <t xml:space="preserve">Source / where to buy</t>
  </si>
  <si>
    <t xml:space="preserve">Notes</t>
  </si>
  <si>
    <t xml:space="preserve">Swerve drive base</t>
  </si>
  <si>
    <t xml:space="preserve">3in MAXSwerve Module</t>
  </si>
  <si>
    <t xml:space="preserve">REV-21-3005</t>
  </si>
  <si>
    <t xml:space="preserve">Required</t>
  </si>
  <si>
    <t xml:space="preserve">Estimate</t>
  </si>
  <si>
    <t xml:space="preserve">revrobotics.com</t>
  </si>
  <si>
    <t xml:space="preserve">Confirm what the module kit includes (encoder, gears, wheel). Module weighs 3.8 lb with the NEO (REV). REV publishes no load rating that I could find, and its wheels are consumables that wear faster with robot weight, so check with REV for your loaded mass and test on your real floors.</t>
  </si>
  <si>
    <t xml:space="preserve">NEO Brushless Motor V1.1 (drive)</t>
  </si>
  <si>
    <t xml:space="preserve">REV</t>
  </si>
  <si>
    <t xml:space="preserve">NEO 550 Brushless Motor (steer)</t>
  </si>
  <si>
    <t xml:space="preserve">SPARK MAX Motor Controller</t>
  </si>
  <si>
    <t xml:space="preserve">REV-11-2158</t>
  </si>
  <si>
    <t xml:space="preserve">2 per module (drive + steer), per your wiring diagram.</t>
  </si>
  <si>
    <t xml:space="preserve">Through Bore Encoder + Absolute Encoder Adapter</t>
  </si>
  <si>
    <t xml:space="preserve">Per diagram: encoder on the steer SPARK. Skip if the module kit already includes it.</t>
  </si>
  <si>
    <t xml:space="preserve">Spare wheel tread / gearing</t>
  </si>
  <si>
    <t xml:space="preserve">Optional</t>
  </si>
  <si>
    <t xml:space="preserve">Control system &amp; 12 V power</t>
  </si>
  <si>
    <t xml:space="preserve">roboRIO 2.0</t>
  </si>
  <si>
    <t xml:space="preserve">NI / AndyMark am-3000a</t>
  </si>
  <si>
    <t xml:space="preserve">andymark.com/products/ni-roborio-2-0</t>
  </si>
  <si>
    <t xml:space="preserve">AndyMark sells it only for FRC use; non-FRC buyers must contact NI. Being replaced by Systemcore (WPILib 2027 drops roboRIO). See Alt options.</t>
  </si>
  <si>
    <t xml:space="preserve">Power Distribution Hub (PDH)</t>
  </si>
  <si>
    <t xml:space="preserve">Diagram shows PDP/PDH.</t>
  </si>
  <si>
    <t xml:space="preserve">Main breaker 120 A</t>
  </si>
  <si>
    <t xml:space="preserve">FRC-style (Cooper Bussmann)</t>
  </si>
  <si>
    <t xml:space="preserve">andymark.com / revrobotics.com</t>
  </si>
  <si>
    <t xml:space="preserve">Manual breaker only: no remote-trip coil. E-stop needs the contactor below.</t>
  </si>
  <si>
    <t xml:space="preserve">12 V SLA battery (MK ES17-12 class)</t>
  </si>
  <si>
    <t xml:space="preserve">MK ES17-12</t>
  </si>
  <si>
    <t xml:space="preserve">revrobotics.com / andymark.com</t>
  </si>
  <si>
    <t xml:space="preserve">1 in use + 1 spare/rotation.</t>
  </si>
  <si>
    <t xml:space="preserve">12 V SLA smart charger (&gt;=10 A)</t>
  </si>
  <si>
    <t xml:space="preserve">Battery Tender / FRC charger class</t>
  </si>
  <si>
    <t xml:space="preserve">various</t>
  </si>
  <si>
    <t xml:space="preserve">Dock charging for the SLA: see Charging dock sheet notes.</t>
  </si>
  <si>
    <t xml:space="preserve">FRC radio or standard Wi-Fi router</t>
  </si>
  <si>
    <t xml:space="preserve">OM5P-AC / REV radio / consumer router</t>
  </si>
  <si>
    <t xml:space="preserve">A plain router is cheaper if you are not using FRC field equipment.</t>
  </si>
  <si>
    <t xml:space="preserve">5-port managed Ethernet switch</t>
  </si>
  <si>
    <t xml:space="preserve">RoboRIO + onboard computer + lidars on one subnet.</t>
  </si>
  <si>
    <t xml:space="preserve">Wire &amp; connector kit (6-12 AWG, Anderson, ferrules, WAGO)</t>
  </si>
  <si>
    <t xml:space="preserve">Gamepad controller for teleop testing</t>
  </si>
  <si>
    <t xml:space="preserve">Needed to drive the base by hand in the early stages. Assumes a laptop for the Driver Station is already owned.</t>
  </si>
  <si>
    <t xml:space="preserve">Robot Signal Light</t>
  </si>
  <si>
    <t xml:space="preserve">FRC convention; useful status indicator.</t>
  </si>
  <si>
    <t xml:space="preserve">IMU (BNO085 breakout or navX2)</t>
  </si>
  <si>
    <t xml:space="preserve">Midpoint of ~$25 (BNO085) to ~$100 (navX2).</t>
  </si>
  <si>
    <t xml:space="preserve">Onboard compute &amp; perception</t>
  </si>
  <si>
    <t xml:space="preserve">Raspberry Pi 5 8 GB (or Jetson Orin Nano)</t>
  </si>
  <si>
    <t xml:space="preserve">Memory prices are volatile in 2026; a forum post reports the 4 GB Pi 5 at ~$110 vs $60 at launch. Check current price.</t>
  </si>
  <si>
    <t xml:space="preserve">Pi accessories: active cooler, 27 W PD supply, NVMe HAT + 256 GB SSD</t>
  </si>
  <si>
    <t xml:space="preserve">2D 360-degree lidar (RPLIDAR A2-class)</t>
  </si>
  <si>
    <t xml:space="preserve">Slamtec RPLIDAR A2-class</t>
  </si>
  <si>
    <t xml:space="preserve">slamtec.com / resellers</t>
  </si>
  <si>
    <t xml:space="preserve">Two, corner-mounted per diagram. Cheaper LD19-class units exist (~$80-100): see Alt options.</t>
  </si>
  <si>
    <t xml:space="preserve">USB / serial cables and hub</t>
  </si>
  <si>
    <t xml:space="preserve">Camera for dock alignment (Pi Camera Module 3)</t>
  </si>
  <si>
    <t xml:space="preserve">Recommended</t>
  </si>
  <si>
    <t xml:space="preserve">AprilTag / marker detection for final docking approach.</t>
  </si>
  <si>
    <t xml:space="preserve">Depth camera for desktop-height obstacles and people (OAK-D Lite / RealSense)</t>
  </si>
  <si>
    <t xml:space="preserve">Now recommended: the desk always drives at standing height, and a lidar mounted low on the frame cannot see shelves, chair backs or desk edges at desktop height. Alternatives: a second lidar plane at desktop height.</t>
  </si>
  <si>
    <t xml:space="preserve">Humanscale desk integration</t>
  </si>
  <si>
    <t xml:space="preserve">Humanscale electric sit-stand table (eFloat family), used MANUALLY</t>
  </si>
  <si>
    <t xml:space="preserve">Existing</t>
  </si>
  <si>
    <t xml:space="preserve">n/a</t>
  </si>
  <si>
    <t xml:space="preserve">humanscale.com/products/standing-desks/efloat-lite-table</t>
  </si>
  <si>
    <t xml:space="preserve">Assumed already owned: $0, excluded from totals. No wiring into its controls: you raise and lower it yourself. Confirm model and rated load.</t>
  </si>
  <si>
    <t xml:space="preserve">Height sensor, read-only (VL53L1X time-of-flight breakout)</t>
  </si>
  <si>
    <t xml:space="preserve">Pololu / Adafruit</t>
  </si>
  <si>
    <t xml:space="preserve">Not wired into the Humanscale. It only lets software cap speed when the desk is left tall, since the desk no longer lowers before driving.</t>
  </si>
  <si>
    <t xml:space="preserve">House power (UPS)</t>
  </si>
  <si>
    <t xml:space="preserve">Line-interactive UPS, pure sine wave, ~1000-1500 VA, USB monitoring</t>
  </si>
  <si>
    <t xml:space="preserve">APC / CyberPower / Eaton class</t>
  </si>
  <si>
    <t xml:space="preserve">Replaces the Anker. Powers the computer, lidars and desk. Charges itself whenever it has wall power. Check weight (sealed lead-acid units are heavy but far lighter than the Anker), battery watt-hours, and that its USB reporting is supported by NUT.</t>
  </si>
  <si>
    <t xml:space="preserve">UPS mounting bracket under the desktop (through-bolts, backing plates, vibration isolation)</t>
  </si>
  <si>
    <t xml:space="preserve">fabricate</t>
  </si>
  <si>
    <t xml:space="preserve">Your plan: bolt the UPS to the underside of the desktop. Check the top is thick and strong enough (use backing plates, not screws into the surface), add cable slack for height changes, and keep the UPS vents clear. A UPS is not designed to ride on a moving base, so isolate it from shock.</t>
  </si>
  <si>
    <t xml:space="preserve">DC-DC buck 12 V to 5 V (10 A)</t>
  </si>
  <si>
    <t xml:space="preserve">Fuses / breakers with holders (ATO / MIDI)</t>
  </si>
  <si>
    <t xml:space="preserve">GFCI AC distribution + cords</t>
  </si>
  <si>
    <t xml:space="preserve">Mains voltage inside the base: use proper strain relief and enclosures.</t>
  </si>
  <si>
    <t xml:space="preserve">E-stop &amp; safety</t>
  </si>
  <si>
    <t xml:space="preserve">22 mm E-stop pushbutton (twist-release, NC)</t>
  </si>
  <si>
    <t xml:space="preserve">One on desktop, one on the frame exterior (per diagram), in series.</t>
  </si>
  <si>
    <t xml:space="preserve">12 V DC contactor, &gt;=150 A (battery positive)</t>
  </si>
  <si>
    <t xml:space="preserve">Albright SW-series class</t>
  </si>
  <si>
    <t xml:space="preserve">Replaces the diagram's "main breaker coil" (a standard FRC breaker cannot be tripped remotely). Verify rating.</t>
  </si>
  <si>
    <t xml:space="preserve">Dual-channel safety relay (E-stop monitoring)</t>
  </si>
  <si>
    <t xml:space="preserve">Pilz / Schneider / Omron class</t>
  </si>
  <si>
    <t xml:space="preserve">Contact bumper / safety-edge strips</t>
  </si>
  <si>
    <t xml:space="preserve">Last-resort contact detection around the frame.</t>
  </si>
  <si>
    <t xml:space="preserve">Amber beacon + buzzer (12 V)</t>
  </si>
  <si>
    <t xml:space="preserve">Tells people it is moving.</t>
  </si>
  <si>
    <t xml:space="preserve">Charging dock</t>
  </si>
  <si>
    <t xml:space="preserve">Dock marks / simple guide so the desk parks within cord reach</t>
  </si>
  <si>
    <t xml:space="preserve">With a manual cord the desk only has to stop near the wall station, not align to the millimeter.</t>
  </si>
  <si>
    <t xml:space="preserve">GFCI wall outlet on its own 15 A circuit (electrician)</t>
  </si>
  <si>
    <t xml:space="preserve">electrician</t>
  </si>
  <si>
    <t xml:space="preserve">The charging station. Keep it on a circuit that is not shared with big loads.</t>
  </si>
  <si>
    <t xml:space="preserve">Light-duty magnetic breakaway power cord, UL-listed, 15 A</t>
  </si>
  <si>
    <t xml:space="preserve">verify</t>
  </si>
  <si>
    <t xml:space="preserve">Releases cleanly if the desk drives off with the cord still plugged in. Needs a LOW release force: Hubbell LineSafe-class industrial breakaways exist (UL 1682, re-mate without tools, auxiliary contacts) but the model checked lists a 130 lb coupling force, far too stiff here. I could not verify a suitable light-duty product; check release force with a pull gauge.</t>
  </si>
  <si>
    <t xml:space="preserve">Frame-mounted AC inlet + flexible, strain-relieved cable to the UPS (slack for the full desk height range)</t>
  </si>
  <si>
    <t xml:space="preserve">The UPS now rides up and down with the desk, so the dock must mate with a connector fixed to the frame. The same inlet can feed the 12 V SLA charger so it only runs when docked.</t>
  </si>
  <si>
    <t xml:space="preserve">AC-presence sensor (opto AC detector) on the frame inlet</t>
  </si>
  <si>
    <t xml:space="preserve">Independent "cord is plugged in" signal for the interlock. The UPS on-line flag and the breakaway connector's auxiliary contact are the other two; any one means do not drive.</t>
  </si>
  <si>
    <t xml:space="preserve">Interlock relay + wiring for the connector auxiliary contact</t>
  </si>
  <si>
    <t xml:space="preserve">Feeds the controller and an indicator so a forgotten cord is noticed.</t>
  </si>
  <si>
    <t xml:space="preserve">Inlet-empty detect switch (closed ONLY when the inlet is empty), in series with the drive contactor coil</t>
  </si>
  <si>
    <t xml:space="preserve">Hardware layer of the cord lock: unplugged must be positively proven, so a broken wire reads as plugged in and the wheels cannot be powered even if the software crashes. Charging is unaffected: the charger sits ahead of the contactor.</t>
  </si>
  <si>
    <t xml:space="preserve">Maintenance override key switch for the cord interlock</t>
  </si>
  <si>
    <t xml:space="preserve">Lets you move the robot with the cord sensor out of service (for example a failed switch) without bypassing it permanently.</t>
  </si>
  <si>
    <t xml:space="preserve">Inline fuse + Anderson pair: onboard charger to the 12 V battery</t>
  </si>
  <si>
    <t xml:space="preserve">The onboard SLA charger connects straight to the battery terminals, ahead of the E-stop contactor, and is powered only from the frame inlet.</t>
  </si>
  <si>
    <t xml:space="preserve">Cord hook / strain relief at the wall station</t>
  </si>
  <si>
    <t xml:space="preserve">Keeps the cord off the floor and out of the wheels.</t>
  </si>
  <si>
    <t xml:space="preserve">Current/voltage sensor (INA260) + contactor for AUTOMATIC contact charging (optional upgrade)</t>
  </si>
  <si>
    <t xml:space="preserve">Only needed if you later replace the manual cord with auto-docking contacts.</t>
  </si>
  <si>
    <t xml:space="preserve">AprilTag / IR beacon for final alignment</t>
  </si>
  <si>
    <t xml:space="preserve">Frame &amp; mechanical</t>
  </si>
  <si>
    <t xml:space="preserve">Aluminum extrusion / plate / sheet for frame</t>
  </si>
  <si>
    <t xml:space="preserve">Sized for the Anker cutout and swerve module spacing.</t>
  </si>
  <si>
    <t xml:space="preserve">Module mounting plates (waterjet / CNC service)</t>
  </si>
  <si>
    <t xml:space="preserve">Fasteners, standoffs, brackets</t>
  </si>
  <si>
    <t xml:space="preserve">Ballast (weight plates or sandbags) to match the final mass</t>
  </si>
  <si>
    <t xml:space="preserve">Test the loaded base at the real mass and height before the real desk goes on.</t>
  </si>
  <si>
    <t xml:space="preserve">Dummy desktop outline (plywood or foam board) at desk height</t>
  </si>
  <si>
    <t xml:space="preserve">Stands in for the desk: tests footprint, center of gravity and lidar blind spots before the real table is attached.</t>
  </si>
  <si>
    <t xml:space="preserve">Cable management, labels</t>
  </si>
  <si>
    <t xml:space="preserve">Miscellaneous</t>
  </si>
  <si>
    <t xml:space="preserve">Apple Developer Program, per year (TestFlight / App Store distribution)</t>
  </si>
  <si>
    <t xml:space="preserve">developer.apple.com</t>
  </si>
  <si>
    <t xml:space="preserve">Check the current price. As I understand it, a free account can install on your own iPhone but those builds expire after 7 days. Assumes a Mac with Xcode and an iPhone are already owned.</t>
  </si>
  <si>
    <t xml:space="preserve">Connectors, heat shrink, zip ties, labeling</t>
  </si>
  <si>
    <t xml:space="preserve">Total, all lines</t>
  </si>
  <si>
    <t xml:space="preserve">The Summary sheet splits this by Required / Recommended / Optional and adds contingency.</t>
  </si>
  <si>
    <t xml:space="preserve">Cost summary</t>
  </si>
  <si>
    <t xml:space="preserve">Sums come from the BOM sheet. Change the yellow cell to adjust contingency.</t>
  </si>
  <si>
    <t xml:space="preserve">Required ($)</t>
  </si>
  <si>
    <t xml:space="preserve">Recommended ($)</t>
  </si>
  <si>
    <t xml:space="preserve">Optional ($)</t>
  </si>
  <si>
    <t xml:space="preserve">Category total ($)</t>
  </si>
  <si>
    <t xml:space="preserve">Total</t>
  </si>
  <si>
    <t xml:space="preserve">Build estimate</t>
  </si>
  <si>
    <t xml:space="preserve">Required items only</t>
  </si>
  <si>
    <t xml:space="preserve">Required + Recommended (my suggested build)</t>
  </si>
  <si>
    <t xml:space="preserve">Contingency (% of suggested build)</t>
  </si>
  <si>
    <t xml:space="preserve">Assumption: 15% covers price drift, shipping surprises and re-buys on a first-of-its-kind build. Set your own.</t>
  </si>
  <si>
    <t xml:space="preserve">Contingency amount</t>
  </si>
  <si>
    <t xml:space="preserve">Estimated budget (suggested build + contingency)</t>
  </si>
  <si>
    <t xml:space="preserve">Optional items, if you want them all</t>
  </si>
  <si>
    <t xml:space="preserve">Shares of the suggested build</t>
  </si>
  <si>
    <t xml:space="preserve">UPS as % of required + recommended</t>
  </si>
  <si>
    <t xml:space="preserve">Swerve drive base as % of required + recommended</t>
  </si>
  <si>
    <t xml:space="preserve">Not included: sales tax, shipping, tools and test equipment beyond the logic analyzer, your labor, the Humanscale table (assumed owned), any electrician or machining services beyond the lines above.</t>
  </si>
  <si>
    <t xml:space="preserve">Decisions that change the BOM</t>
  </si>
  <si>
    <t xml:space="preserve">Dollar figures here are rough estimates for comparison only. Verify before deciding.</t>
  </si>
  <si>
    <t xml:space="preserve">Decision</t>
  </si>
  <si>
    <t xml:space="preserve">Option in your diagram</t>
  </si>
  <si>
    <t xml:space="preserve">Alternative</t>
  </si>
  <si>
    <t xml:space="preserve">Effect on cost / mass / risk</t>
  </si>
  <si>
    <t xml:space="preserve">House power</t>
  </si>
  <si>
    <t xml:space="preserve">Line-interactive UPS (current plan): roughly 10-15 kg for a sealed lead-acid ~1500 VA unit (verify), ~$300.</t>
  </si>
  <si>
    <t xml:space="preserve">(a) A lithium (LiFePO4) UPS: lighter, longer life, costs more. (b) A larger UPS if you will power a monitor or laptop from it.</t>
  </si>
  <si>
    <t xml:space="preserve">Check watt-hours, not VA: UPS runtime ratings assume a short backup. Expect hours at the computer-and-lidar load, but add up your real loads. Pure sine wave output is safer for the desk motors. The earlier Anker F3800 choice (~60 kg, ~$2,500) is no longer needed.</t>
  </si>
  <si>
    <t xml:space="preserve">Robot controller</t>
  </si>
  <si>
    <t xml:space="preserve">roboRIO 2.0 (FRC-only sale via AndyMark; end of life as WPILib moves to Systemcore).</t>
  </si>
  <si>
    <t xml:space="preserve">(a) Systemcore when sold (price not announced); (b) CTRE Talon FX + CANivore on Pi/Jetson via SocketCAN; (c) ODrive / VESC / moteus with an open stack.</t>
  </si>
  <si>
    <t xml:space="preserve">Biggest architecture decision. SPARK MAX outside a roboRIO is documented as non-competition use and needs a heartbeat; Linux support is raw SocketCAN. Decide before buying motor controllers.</t>
  </si>
  <si>
    <t xml:space="preserve">Lidar</t>
  </si>
  <si>
    <t xml:space="preserve">2x RPLIDAR A2-class (~$330 each).</t>
  </si>
  <si>
    <t xml:space="preserve">LD19-class 2D lidar (~$80-100 each, shorter range / lower accuracy) or one RPLIDAR plus bumpers.</t>
  </si>
  <si>
    <t xml:space="preserve">Saves ~$450-500. Test coverage against the desk body and Anker blind spots first.</t>
  </si>
  <si>
    <t xml:space="preserve">Onboard computer</t>
  </si>
  <si>
    <t xml:space="preserve">Raspberry Pi 5 8 GB.</t>
  </si>
  <si>
    <t xml:space="preserve">Jetson Orin Nano class if you add camera-based people detection.</t>
  </si>
  <si>
    <t xml:space="preserve">Pi is cheaper and enough for 2D lidar planning (sim planner averages a few ms). Jetson helps if you add depth cameras / neural nets.</t>
  </si>
  <si>
    <t xml:space="preserve">Desk interface</t>
  </si>
  <si>
    <t xml:space="preserve">Manual desk: no wiring into the Humanscale (current plan). The desk stays at the user's height while driving.</t>
  </si>
  <si>
    <t xml:space="preserve">Later, if you want automatic height: optocoupler button emulation at the handset, with a watchdog and E-stop-removed supply.</t>
  </si>
  <si>
    <t xml:space="preserve">Removes the optocoupler board, watchdog, logic analyzer, spare handset and the bench-test phase. New risk: the desk drives tall (higher center of gravity), so tip-over and loose items matter. Keep speeds and braking conservative and test at full height.</t>
  </si>
  <si>
    <t xml:space="preserve">Charging connection</t>
  </si>
  <si>
    <t xml:space="preserve">Not yet defined in the diagram.</t>
  </si>
  <si>
    <t xml:space="preserve">(1) Blind-mate shrouded mains connector into the UPS input (the UPS charges itself); (2) low-voltage dock feeding a DC charger for the 12 V battery only; (3) manual plug-in with auto-detect.</t>
  </si>
  <si>
    <t xml:space="preserve">(1) is simplest and supported by the UPS design, but puts mains at the dock: finger-safe, de-energized until docked, electrician review. (2) leaves the UPS to be plugged in by hand. (3) is cheapest but not automatic.</t>
  </si>
  <si>
    <t xml:space="preserve">Wireless charging (12 V battery)</t>
  </si>
  <si>
    <t xml:space="preserve">Not in the plan: an onboard charger fed from the frame inlet, with a plug.</t>
  </si>
  <si>
    <t xml:space="preserve">A 100 W-class wireless kit, for example the NOA CORE100 development kit (up to 100 W). Its output voltage and charge profile for AGM are not verified.</t>
  </si>
  <si>
    <t xml:space="preserve">Possible, but it does not remove the cord: the UPS still needs 120 V AC, so you would keep the plug and its protections. It needs much more precise parking (research systems use camera-assisted parking to sub-centimeter), wastes roughly 20% as heat, and costs more than a plain charger. Bench-test a kit with a spare AGM battery before wiring it in.</t>
  </si>
  <si>
    <t xml:space="preserve">Assumptions, sources and open items</t>
  </si>
  <si>
    <t xml:space="preserve">Type</t>
  </si>
  <si>
    <t xml:space="preserve">Note</t>
  </si>
  <si>
    <t xml:space="preserve">Design change (v2)</t>
  </si>
  <si>
    <t xml:space="preserve">Replaced the Anker SOLIX F3800 Plus (3,840 Wh, listed ~133-137 lb, $2,499 at one reseller, previously verified) with a line-interactive UPS. The UPS price here is my ESTIMATE; your model is not known.</t>
  </si>
  <si>
    <t xml:space="preserve">The desk no longer lowers before driving, so nothing is wired into the Humanscale controls. The optocoupler board, watchdog, logic analyzer, spare handset and extra height sensor were removed; one optional read-only height sensor remains.</t>
  </si>
  <si>
    <t xml:space="preserve">Verified this session</t>
  </si>
  <si>
    <t xml:space="preserve">AndyMark roboRIO 2.0 page: sold to FRC teams / organizers for FRC use; non-FRC inquiries go to NI. Source: https://andymark.com/products/ni-roborio-2-0</t>
  </si>
  <si>
    <t xml:space="preserve">FRC community threads: WPILib 2027 will not run on roboRIO; Systemcore replaces it; Systemcore pricing not announced. Source: https://www.chiefdelphi.com/t/systemcore-onsale-date/517572</t>
  </si>
  <si>
    <t xml:space="preserve">Humanscale eFloat: electric height adjustment with either a simple up/down handset or a digital memory keypad storing 4 presets. Source: https://www.thehumansolution.com/humanscale-efloat-electric-standing-desk.html and humanscale.com. No control protocol is published.</t>
  </si>
  <si>
    <t xml:space="preserve">Not verifiable here</t>
  </si>
  <si>
    <t xml:space="preserve">REV product pages loaded without prices in this session, so all REV prices are my estimates. Check revrobotics.com.</t>
  </si>
  <si>
    <t xml:space="preserve">All lines marked Estimate are from my general knowledge of typical prices, not a quote.</t>
  </si>
  <si>
    <t xml:space="preserve">Assumption</t>
  </si>
  <si>
    <t xml:space="preserve">You already own the Humanscale table (price $0, excluded).</t>
  </si>
  <si>
    <t xml:space="preserve">Quantities follow your wiring diagram: 4 swerve modules (8 SPARK MAX, 4 NEO + 4 NEO 550, 4 encoders), 2 lidars, 1 compute board, 2 E-stops. The desk board is gone in v2.</t>
  </si>
  <si>
    <t xml:space="preserve">Open item</t>
  </si>
  <si>
    <t xml:space="preserve">Whether the module kit includes the through-bore encoder / adapter.</t>
  </si>
  <si>
    <t xml:space="preserve">Humanscale lift capacities (reseller / spec listings): eFloat Lite 220 lb (250 lb on angled work surfaces); eFloat Flex 225 lb (275 lb); eFloat Go 2.0 220 lb; non-electric Float 130 lb. Not confirmed whether these include the desktop. Sources: sweets.construction.com eFloat Lite/Flex listing; lttpartners.com eFloat Go 2.0 listing.</t>
  </si>
  <si>
    <t xml:space="preserve">Design note</t>
  </si>
  <si>
    <t xml:space="preserve">With the UPS under the desktop, its weight counts against the lift capacity, and the lift columns also see lateral loads when the robot accelerates, which they were not designed for. Test the desk top-heavy before relying on it.</t>
  </si>
  <si>
    <t xml:space="preserve">Mount the lidars on the frame at a fixed low height, not under the desktop, or their scan plane will move with the desk height and miss floor-level obstacles.</t>
  </si>
  <si>
    <t xml:space="preserve">Which UPS: weight, watt-hours, sine-wave output, USB reporting (NUT support), and whether it tolerates being moved and un-plugged repeatedly.</t>
  </si>
  <si>
    <t xml:space="preserve">Total robot mass (desk + frame + UPS + modules) and the center of gravity with the desk at standing height: size the drive, wheels and speed limits from it.</t>
  </si>
</sst>
</file>

<file path=xl/styles.xml><?xml version="1.0" encoding="utf-8"?>
<styleSheet xmlns="http://schemas.openxmlformats.org/spreadsheetml/2006/main">
  <numFmts count="4">
    <numFmt numFmtId="164" formatCode="General"/>
    <numFmt numFmtId="165" formatCode="\$#,##0;&quot;($&quot;#,##0\);\-"/>
    <numFmt numFmtId="166" formatCode="\$#,##0"/>
    <numFmt numFmtId="167"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55555"/>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0"/>
      <name val="Arial"/>
      <family val="0"/>
      <charset val="1"/>
    </font>
  </fonts>
  <fills count="6">
    <fill>
      <patternFill patternType="none"/>
    </fill>
    <fill>
      <patternFill patternType="gray125"/>
    </fill>
    <fill>
      <patternFill patternType="solid">
        <fgColor rgb="FF1F2A37"/>
        <bgColor rgb="FF333300"/>
      </patternFill>
    </fill>
    <fill>
      <patternFill patternType="solid">
        <fgColor rgb="FFFFF3D6"/>
        <bgColor rgb="FFFFFFFF"/>
      </patternFill>
    </fill>
    <fill>
      <patternFill patternType="solid">
        <fgColor rgb="FFE8EDF3"/>
        <bgColor rgb="FFFFF3D6"/>
      </patternFill>
    </fill>
    <fill>
      <patternFill patternType="solid">
        <fgColor rgb="FFFFFF00"/>
        <bgColor rgb="FFFFFF00"/>
      </patternFill>
    </fill>
  </fills>
  <borders count="2">
    <border diagonalUp="false" diagonalDown="false">
      <left/>
      <right/>
      <top/>
      <bottom/>
      <diagonal/>
    </border>
    <border diagonalUp="false" diagonalDown="false">
      <left style="thin">
        <color rgb="FFC9D1DA"/>
      </left>
      <right style="thin">
        <color rgb="FFC9D1DA"/>
      </right>
      <top style="thin">
        <color rgb="FFC9D1DA"/>
      </top>
      <bottom style="thin">
        <color rgb="FFC9D1D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9" fillId="0" borderId="0" xfId="0" applyFont="true" applyBorder="false" applyAlignment="true" applyProtection="false">
      <alignment horizontal="right"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7" fontId="8" fillId="5"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2A37"/>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FFF3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D6"/>
      <rgbColor rgb="FFE8EDF3"/>
      <rgbColor rgb="FF660066"/>
      <rgbColor rgb="FFFF8080"/>
      <rgbColor rgb="FF0066CC"/>
      <rgbColor rgb="FFC9D1D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2A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44"/>
    <col collapsed="false" customWidth="true" hidden="false" outlineLevel="0" max="4" min="4" style="0" width="26"/>
    <col collapsed="false" customWidth="true" hidden="false" outlineLevel="0" max="5" min="5" style="0" width="6"/>
    <col collapsed="false" customWidth="true" hidden="false" outlineLevel="0" max="8" min="6" style="0" width="13"/>
    <col collapsed="false" customWidth="true" hidden="false" outlineLevel="0" max="9" min="9" style="0" width="12"/>
    <col collapsed="false" customWidth="true" hidden="false" outlineLevel="0" max="10" min="10" style="0" width="42"/>
    <col collapsed="false" customWidth="true" hidden="false" outlineLevel="0" max="11" min="11" style="0" width="62"/>
  </cols>
  <sheetData>
    <row r="1" customFormat="false" ht="17.35" hidden="false" customHeight="false" outlineLevel="0" collapsed="false">
      <c r="A1" s="1" t="s">
        <v>0</v>
      </c>
    </row>
    <row r="2" customFormat="false" ht="30" hidden="false" customHeight="true" outlineLevel="0" collapsed="false">
      <c r="A2" s="2" t="s">
        <v>1</v>
      </c>
      <c r="B2" s="2"/>
      <c r="C2" s="2"/>
      <c r="D2" s="2"/>
      <c r="E2" s="2"/>
      <c r="F2" s="2"/>
      <c r="G2" s="2"/>
      <c r="H2" s="2"/>
      <c r="I2" s="2"/>
      <c r="J2" s="2"/>
      <c r="K2" s="2"/>
    </row>
    <row r="4" customFormat="false" ht="15" hidden="false" customHeight="false" outlineLevel="0" collapsed="false">
      <c r="A4" s="3" t="s">
        <v>2</v>
      </c>
      <c r="B4" s="3" t="s">
        <v>3</v>
      </c>
      <c r="C4" s="3" t="s">
        <v>4</v>
      </c>
      <c r="D4" s="3" t="s">
        <v>5</v>
      </c>
      <c r="E4" s="3" t="s">
        <v>6</v>
      </c>
      <c r="F4" s="3" t="s">
        <v>7</v>
      </c>
      <c r="G4" s="3" t="s">
        <v>8</v>
      </c>
      <c r="H4" s="3" t="s">
        <v>9</v>
      </c>
      <c r="I4" s="3" t="s">
        <v>10</v>
      </c>
      <c r="J4" s="3" t="s">
        <v>11</v>
      </c>
      <c r="K4" s="3" t="s">
        <v>12</v>
      </c>
    </row>
    <row r="5" customFormat="false" ht="46.25" hidden="false" customHeight="false" outlineLevel="0" collapsed="false">
      <c r="A5" s="4" t="n">
        <v>1</v>
      </c>
      <c r="B5" s="5" t="s">
        <v>13</v>
      </c>
      <c r="C5" s="5" t="s">
        <v>14</v>
      </c>
      <c r="D5" s="5" t="s">
        <v>15</v>
      </c>
      <c r="E5" s="6" t="n">
        <v>4</v>
      </c>
      <c r="F5" s="7" t="n">
        <v>240</v>
      </c>
      <c r="G5" s="8" t="n">
        <f aca="false">E5*F5</f>
        <v>960</v>
      </c>
      <c r="H5" s="4" t="s">
        <v>16</v>
      </c>
      <c r="I5" s="9" t="s">
        <v>17</v>
      </c>
      <c r="J5" s="5" t="s">
        <v>18</v>
      </c>
      <c r="K5" s="5" t="s">
        <v>19</v>
      </c>
    </row>
    <row r="6" customFormat="false" ht="15" hidden="false" customHeight="false" outlineLevel="0" collapsed="false">
      <c r="A6" s="4" t="n">
        <v>2</v>
      </c>
      <c r="B6" s="5" t="s">
        <v>13</v>
      </c>
      <c r="C6" s="5" t="s">
        <v>20</v>
      </c>
      <c r="D6" s="5" t="s">
        <v>21</v>
      </c>
      <c r="E6" s="6" t="n">
        <v>4</v>
      </c>
      <c r="F6" s="7" t="n">
        <v>45</v>
      </c>
      <c r="G6" s="8" t="n">
        <f aca="false">E6*F6</f>
        <v>180</v>
      </c>
      <c r="H6" s="4" t="s">
        <v>16</v>
      </c>
      <c r="I6" s="9" t="s">
        <v>17</v>
      </c>
      <c r="J6" s="5" t="s">
        <v>18</v>
      </c>
      <c r="K6" s="5"/>
    </row>
    <row r="7" customFormat="false" ht="15" hidden="false" customHeight="false" outlineLevel="0" collapsed="false">
      <c r="A7" s="4" t="n">
        <v>3</v>
      </c>
      <c r="B7" s="5" t="s">
        <v>13</v>
      </c>
      <c r="C7" s="5" t="s">
        <v>22</v>
      </c>
      <c r="D7" s="5" t="s">
        <v>21</v>
      </c>
      <c r="E7" s="6" t="n">
        <v>4</v>
      </c>
      <c r="F7" s="7" t="n">
        <v>30</v>
      </c>
      <c r="G7" s="8" t="n">
        <f aca="false">E7*F7</f>
        <v>120</v>
      </c>
      <c r="H7" s="4" t="s">
        <v>16</v>
      </c>
      <c r="I7" s="9" t="s">
        <v>17</v>
      </c>
      <c r="J7" s="5" t="s">
        <v>18</v>
      </c>
      <c r="K7" s="5"/>
    </row>
    <row r="8" customFormat="false" ht="15" hidden="false" customHeight="false" outlineLevel="0" collapsed="false">
      <c r="A8" s="4" t="n">
        <v>4</v>
      </c>
      <c r="B8" s="5" t="s">
        <v>13</v>
      </c>
      <c r="C8" s="5" t="s">
        <v>23</v>
      </c>
      <c r="D8" s="5" t="s">
        <v>24</v>
      </c>
      <c r="E8" s="6" t="n">
        <v>8</v>
      </c>
      <c r="F8" s="7" t="n">
        <v>90</v>
      </c>
      <c r="G8" s="8" t="n">
        <f aca="false">E8*F8</f>
        <v>720</v>
      </c>
      <c r="H8" s="4" t="s">
        <v>16</v>
      </c>
      <c r="I8" s="9" t="s">
        <v>17</v>
      </c>
      <c r="J8" s="5" t="s">
        <v>18</v>
      </c>
      <c r="K8" s="5" t="s">
        <v>25</v>
      </c>
    </row>
    <row r="9" customFormat="false" ht="23.85" hidden="false" customHeight="false" outlineLevel="0" collapsed="false">
      <c r="A9" s="4" t="n">
        <v>5</v>
      </c>
      <c r="B9" s="5" t="s">
        <v>13</v>
      </c>
      <c r="C9" s="5" t="s">
        <v>26</v>
      </c>
      <c r="D9" s="5" t="s">
        <v>21</v>
      </c>
      <c r="E9" s="6" t="n">
        <v>4</v>
      </c>
      <c r="F9" s="7" t="n">
        <v>40</v>
      </c>
      <c r="G9" s="8" t="n">
        <f aca="false">E9*F9</f>
        <v>160</v>
      </c>
      <c r="H9" s="4" t="s">
        <v>16</v>
      </c>
      <c r="I9" s="9" t="s">
        <v>17</v>
      </c>
      <c r="J9" s="5" t="s">
        <v>18</v>
      </c>
      <c r="K9" s="5" t="s">
        <v>27</v>
      </c>
    </row>
    <row r="10" customFormat="false" ht="15" hidden="false" customHeight="false" outlineLevel="0" collapsed="false">
      <c r="A10" s="4" t="n">
        <v>6</v>
      </c>
      <c r="B10" s="5" t="s">
        <v>13</v>
      </c>
      <c r="C10" s="5" t="s">
        <v>28</v>
      </c>
      <c r="D10" s="5" t="s">
        <v>21</v>
      </c>
      <c r="E10" s="6" t="n">
        <v>1</v>
      </c>
      <c r="F10" s="7" t="n">
        <v>60</v>
      </c>
      <c r="G10" s="8" t="n">
        <f aca="false">E10*F10</f>
        <v>60</v>
      </c>
      <c r="H10" s="4" t="s">
        <v>29</v>
      </c>
      <c r="I10" s="9" t="s">
        <v>17</v>
      </c>
      <c r="J10" s="5" t="s">
        <v>18</v>
      </c>
      <c r="K10" s="5"/>
    </row>
    <row r="11" customFormat="false" ht="23.85" hidden="false" customHeight="false" outlineLevel="0" collapsed="false">
      <c r="A11" s="4" t="n">
        <v>7</v>
      </c>
      <c r="B11" s="5" t="s">
        <v>30</v>
      </c>
      <c r="C11" s="5" t="s">
        <v>31</v>
      </c>
      <c r="D11" s="5" t="s">
        <v>32</v>
      </c>
      <c r="E11" s="6" t="n">
        <v>1</v>
      </c>
      <c r="F11" s="7" t="n">
        <v>550</v>
      </c>
      <c r="G11" s="8" t="n">
        <f aca="false">E11*F11</f>
        <v>550</v>
      </c>
      <c r="H11" s="4" t="s">
        <v>16</v>
      </c>
      <c r="I11" s="9" t="s">
        <v>17</v>
      </c>
      <c r="J11" s="5" t="s">
        <v>33</v>
      </c>
      <c r="K11" s="5" t="s">
        <v>34</v>
      </c>
    </row>
    <row r="12" customFormat="false" ht="15" hidden="false" customHeight="false" outlineLevel="0" collapsed="false">
      <c r="A12" s="4" t="n">
        <v>8</v>
      </c>
      <c r="B12" s="5" t="s">
        <v>30</v>
      </c>
      <c r="C12" s="5" t="s">
        <v>35</v>
      </c>
      <c r="D12" s="5" t="s">
        <v>21</v>
      </c>
      <c r="E12" s="6" t="n">
        <v>1</v>
      </c>
      <c r="F12" s="7" t="n">
        <v>85</v>
      </c>
      <c r="G12" s="8" t="n">
        <f aca="false">E12*F12</f>
        <v>85</v>
      </c>
      <c r="H12" s="4" t="s">
        <v>16</v>
      </c>
      <c r="I12" s="9" t="s">
        <v>17</v>
      </c>
      <c r="J12" s="5" t="s">
        <v>18</v>
      </c>
      <c r="K12" s="5" t="s">
        <v>36</v>
      </c>
    </row>
    <row r="13" customFormat="false" ht="15" hidden="false" customHeight="false" outlineLevel="0" collapsed="false">
      <c r="A13" s="4" t="n">
        <v>9</v>
      </c>
      <c r="B13" s="5" t="s">
        <v>30</v>
      </c>
      <c r="C13" s="5" t="s">
        <v>37</v>
      </c>
      <c r="D13" s="5" t="s">
        <v>38</v>
      </c>
      <c r="E13" s="6" t="n">
        <v>1</v>
      </c>
      <c r="F13" s="7" t="n">
        <v>25</v>
      </c>
      <c r="G13" s="8" t="n">
        <f aca="false">E13*F13</f>
        <v>25</v>
      </c>
      <c r="H13" s="4" t="s">
        <v>16</v>
      </c>
      <c r="I13" s="9" t="s">
        <v>17</v>
      </c>
      <c r="J13" s="5" t="s">
        <v>39</v>
      </c>
      <c r="K13" s="5" t="s">
        <v>40</v>
      </c>
    </row>
    <row r="14" customFormat="false" ht="15" hidden="false" customHeight="false" outlineLevel="0" collapsed="false">
      <c r="A14" s="4" t="n">
        <v>10</v>
      </c>
      <c r="B14" s="5" t="s">
        <v>30</v>
      </c>
      <c r="C14" s="5" t="s">
        <v>41</v>
      </c>
      <c r="D14" s="5" t="s">
        <v>42</v>
      </c>
      <c r="E14" s="6" t="n">
        <v>2</v>
      </c>
      <c r="F14" s="7" t="n">
        <v>50</v>
      </c>
      <c r="G14" s="8" t="n">
        <f aca="false">E14*F14</f>
        <v>100</v>
      </c>
      <c r="H14" s="4" t="s">
        <v>16</v>
      </c>
      <c r="I14" s="9" t="s">
        <v>17</v>
      </c>
      <c r="J14" s="5" t="s">
        <v>43</v>
      </c>
      <c r="K14" s="5" t="s">
        <v>44</v>
      </c>
    </row>
    <row r="15" customFormat="false" ht="23.85" hidden="false" customHeight="false" outlineLevel="0" collapsed="false">
      <c r="A15" s="4" t="n">
        <v>11</v>
      </c>
      <c r="B15" s="5" t="s">
        <v>30</v>
      </c>
      <c r="C15" s="5" t="s">
        <v>45</v>
      </c>
      <c r="D15" s="5" t="s">
        <v>46</v>
      </c>
      <c r="E15" s="6" t="n">
        <v>1</v>
      </c>
      <c r="F15" s="7" t="n">
        <v>60</v>
      </c>
      <c r="G15" s="8" t="n">
        <f aca="false">E15*F15</f>
        <v>60</v>
      </c>
      <c r="H15" s="4" t="s">
        <v>16</v>
      </c>
      <c r="I15" s="9" t="s">
        <v>17</v>
      </c>
      <c r="J15" s="5" t="s">
        <v>47</v>
      </c>
      <c r="K15" s="5" t="s">
        <v>48</v>
      </c>
    </row>
    <row r="16" customFormat="false" ht="23.85" hidden="false" customHeight="false" outlineLevel="0" collapsed="false">
      <c r="A16" s="4" t="n">
        <v>12</v>
      </c>
      <c r="B16" s="5" t="s">
        <v>30</v>
      </c>
      <c r="C16" s="5" t="s">
        <v>49</v>
      </c>
      <c r="D16" s="5" t="s">
        <v>50</v>
      </c>
      <c r="E16" s="6" t="n">
        <v>1</v>
      </c>
      <c r="F16" s="7" t="n">
        <v>150</v>
      </c>
      <c r="G16" s="8" t="n">
        <f aca="false">E16*F16</f>
        <v>150</v>
      </c>
      <c r="H16" s="4" t="s">
        <v>16</v>
      </c>
      <c r="I16" s="9" t="s">
        <v>17</v>
      </c>
      <c r="J16" s="5" t="s">
        <v>47</v>
      </c>
      <c r="K16" s="5" t="s">
        <v>51</v>
      </c>
    </row>
    <row r="17" customFormat="false" ht="15" hidden="false" customHeight="false" outlineLevel="0" collapsed="false">
      <c r="A17" s="4" t="n">
        <v>13</v>
      </c>
      <c r="B17" s="5" t="s">
        <v>30</v>
      </c>
      <c r="C17" s="5" t="s">
        <v>52</v>
      </c>
      <c r="D17" s="5"/>
      <c r="E17" s="6" t="n">
        <v>1</v>
      </c>
      <c r="F17" s="7" t="n">
        <v>30</v>
      </c>
      <c r="G17" s="8" t="n">
        <f aca="false">E17*F17</f>
        <v>30</v>
      </c>
      <c r="H17" s="4" t="s">
        <v>16</v>
      </c>
      <c r="I17" s="9" t="s">
        <v>17</v>
      </c>
      <c r="J17" s="5" t="s">
        <v>47</v>
      </c>
      <c r="K17" s="5" t="s">
        <v>53</v>
      </c>
    </row>
    <row r="18" customFormat="false" ht="23.85" hidden="false" customHeight="false" outlineLevel="0" collapsed="false">
      <c r="A18" s="4" t="n">
        <v>14</v>
      </c>
      <c r="B18" s="5" t="s">
        <v>30</v>
      </c>
      <c r="C18" s="5" t="s">
        <v>54</v>
      </c>
      <c r="D18" s="5"/>
      <c r="E18" s="6" t="n">
        <v>1</v>
      </c>
      <c r="F18" s="7" t="n">
        <v>120</v>
      </c>
      <c r="G18" s="8" t="n">
        <f aca="false">E18*F18</f>
        <v>120</v>
      </c>
      <c r="H18" s="4" t="s">
        <v>16</v>
      </c>
      <c r="I18" s="9" t="s">
        <v>17</v>
      </c>
      <c r="J18" s="5" t="s">
        <v>47</v>
      </c>
      <c r="K18" s="5"/>
    </row>
    <row r="19" customFormat="false" ht="23.85" hidden="false" customHeight="false" outlineLevel="0" collapsed="false">
      <c r="A19" s="4" t="n">
        <v>15</v>
      </c>
      <c r="B19" s="5" t="s">
        <v>30</v>
      </c>
      <c r="C19" s="5" t="s">
        <v>55</v>
      </c>
      <c r="D19" s="5"/>
      <c r="E19" s="6" t="n">
        <v>1</v>
      </c>
      <c r="F19" s="7" t="n">
        <v>30</v>
      </c>
      <c r="G19" s="8" t="n">
        <f aca="false">E19*F19</f>
        <v>30</v>
      </c>
      <c r="H19" s="4" t="s">
        <v>16</v>
      </c>
      <c r="I19" s="9" t="s">
        <v>17</v>
      </c>
      <c r="J19" s="5" t="s">
        <v>47</v>
      </c>
      <c r="K19" s="5" t="s">
        <v>56</v>
      </c>
    </row>
    <row r="20" customFormat="false" ht="15" hidden="false" customHeight="false" outlineLevel="0" collapsed="false">
      <c r="A20" s="4" t="n">
        <v>16</v>
      </c>
      <c r="B20" s="5" t="s">
        <v>30</v>
      </c>
      <c r="C20" s="5" t="s">
        <v>57</v>
      </c>
      <c r="D20" s="5"/>
      <c r="E20" s="6" t="n">
        <v>1</v>
      </c>
      <c r="F20" s="7" t="n">
        <v>12</v>
      </c>
      <c r="G20" s="8" t="n">
        <f aca="false">E20*F20</f>
        <v>12</v>
      </c>
      <c r="H20" s="4" t="s">
        <v>29</v>
      </c>
      <c r="I20" s="9" t="s">
        <v>17</v>
      </c>
      <c r="J20" s="5" t="s">
        <v>47</v>
      </c>
      <c r="K20" s="5" t="s">
        <v>58</v>
      </c>
    </row>
    <row r="21" customFormat="false" ht="15" hidden="false" customHeight="false" outlineLevel="0" collapsed="false">
      <c r="A21" s="4" t="n">
        <v>17</v>
      </c>
      <c r="B21" s="5" t="s">
        <v>30</v>
      </c>
      <c r="C21" s="5" t="s">
        <v>59</v>
      </c>
      <c r="D21" s="5"/>
      <c r="E21" s="6" t="n">
        <v>1</v>
      </c>
      <c r="F21" s="7" t="n">
        <v>60</v>
      </c>
      <c r="G21" s="8" t="n">
        <f aca="false">E21*F21</f>
        <v>60</v>
      </c>
      <c r="H21" s="4" t="s">
        <v>16</v>
      </c>
      <c r="I21" s="9" t="s">
        <v>17</v>
      </c>
      <c r="J21" s="5" t="s">
        <v>47</v>
      </c>
      <c r="K21" s="5" t="s">
        <v>60</v>
      </c>
    </row>
    <row r="22" customFormat="false" ht="23.85" hidden="false" customHeight="false" outlineLevel="0" collapsed="false">
      <c r="A22" s="4" t="n">
        <v>18</v>
      </c>
      <c r="B22" s="5" t="s">
        <v>61</v>
      </c>
      <c r="C22" s="5" t="s">
        <v>62</v>
      </c>
      <c r="D22" s="5"/>
      <c r="E22" s="6" t="n">
        <v>1</v>
      </c>
      <c r="F22" s="7" t="n">
        <v>150</v>
      </c>
      <c r="G22" s="8" t="n">
        <f aca="false">E22*F22</f>
        <v>150</v>
      </c>
      <c r="H22" s="4" t="s">
        <v>16</v>
      </c>
      <c r="I22" s="9" t="s">
        <v>17</v>
      </c>
      <c r="J22" s="5" t="s">
        <v>47</v>
      </c>
      <c r="K22" s="5" t="s">
        <v>63</v>
      </c>
    </row>
    <row r="23" customFormat="false" ht="23.85" hidden="false" customHeight="false" outlineLevel="0" collapsed="false">
      <c r="A23" s="4" t="n">
        <v>19</v>
      </c>
      <c r="B23" s="5" t="s">
        <v>61</v>
      </c>
      <c r="C23" s="5" t="s">
        <v>64</v>
      </c>
      <c r="D23" s="5"/>
      <c r="E23" s="6" t="n">
        <v>1</v>
      </c>
      <c r="F23" s="7" t="n">
        <v>90</v>
      </c>
      <c r="G23" s="8" t="n">
        <f aca="false">E23*F23</f>
        <v>90</v>
      </c>
      <c r="H23" s="4" t="s">
        <v>16</v>
      </c>
      <c r="I23" s="9" t="s">
        <v>17</v>
      </c>
      <c r="J23" s="5" t="s">
        <v>47</v>
      </c>
      <c r="K23" s="5"/>
    </row>
    <row r="24" customFormat="false" ht="23.85" hidden="false" customHeight="false" outlineLevel="0" collapsed="false">
      <c r="A24" s="4" t="n">
        <v>20</v>
      </c>
      <c r="B24" s="5" t="s">
        <v>61</v>
      </c>
      <c r="C24" s="5" t="s">
        <v>65</v>
      </c>
      <c r="D24" s="5" t="s">
        <v>66</v>
      </c>
      <c r="E24" s="6" t="n">
        <v>2</v>
      </c>
      <c r="F24" s="7" t="n">
        <v>330</v>
      </c>
      <c r="G24" s="8" t="n">
        <f aca="false">E24*F24</f>
        <v>660</v>
      </c>
      <c r="H24" s="4" t="s">
        <v>16</v>
      </c>
      <c r="I24" s="9" t="s">
        <v>17</v>
      </c>
      <c r="J24" s="5" t="s">
        <v>67</v>
      </c>
      <c r="K24" s="5" t="s">
        <v>68</v>
      </c>
    </row>
    <row r="25" customFormat="false" ht="23.85" hidden="false" customHeight="false" outlineLevel="0" collapsed="false">
      <c r="A25" s="4" t="n">
        <v>21</v>
      </c>
      <c r="B25" s="5" t="s">
        <v>61</v>
      </c>
      <c r="C25" s="5" t="s">
        <v>69</v>
      </c>
      <c r="D25" s="5"/>
      <c r="E25" s="6" t="n">
        <v>1</v>
      </c>
      <c r="F25" s="7" t="n">
        <v>25</v>
      </c>
      <c r="G25" s="8" t="n">
        <f aca="false">E25*F25</f>
        <v>25</v>
      </c>
      <c r="H25" s="4" t="s">
        <v>16</v>
      </c>
      <c r="I25" s="9" t="s">
        <v>17</v>
      </c>
      <c r="J25" s="5" t="s">
        <v>47</v>
      </c>
      <c r="K25" s="5"/>
    </row>
    <row r="26" customFormat="false" ht="23.85" hidden="false" customHeight="false" outlineLevel="0" collapsed="false">
      <c r="A26" s="4" t="n">
        <v>22</v>
      </c>
      <c r="B26" s="5" t="s">
        <v>61</v>
      </c>
      <c r="C26" s="5" t="s">
        <v>70</v>
      </c>
      <c r="D26" s="5"/>
      <c r="E26" s="6" t="n">
        <v>1</v>
      </c>
      <c r="F26" s="7" t="n">
        <v>30</v>
      </c>
      <c r="G26" s="8" t="n">
        <f aca="false">E26*F26</f>
        <v>30</v>
      </c>
      <c r="H26" s="4" t="s">
        <v>71</v>
      </c>
      <c r="I26" s="9" t="s">
        <v>17</v>
      </c>
      <c r="J26" s="5" t="s">
        <v>47</v>
      </c>
      <c r="K26" s="5" t="s">
        <v>72</v>
      </c>
    </row>
    <row r="27" customFormat="false" ht="35.05" hidden="false" customHeight="false" outlineLevel="0" collapsed="false">
      <c r="A27" s="4" t="n">
        <v>23</v>
      </c>
      <c r="B27" s="5" t="s">
        <v>61</v>
      </c>
      <c r="C27" s="5" t="s">
        <v>73</v>
      </c>
      <c r="D27" s="5"/>
      <c r="E27" s="6" t="n">
        <v>1</v>
      </c>
      <c r="F27" s="7" t="n">
        <v>200</v>
      </c>
      <c r="G27" s="8" t="n">
        <f aca="false">E27*F27</f>
        <v>200</v>
      </c>
      <c r="H27" s="4" t="s">
        <v>71</v>
      </c>
      <c r="I27" s="9" t="s">
        <v>17</v>
      </c>
      <c r="J27" s="5" t="s">
        <v>47</v>
      </c>
      <c r="K27" s="5" t="s">
        <v>74</v>
      </c>
    </row>
    <row r="28" customFormat="false" ht="23.85" hidden="false" customHeight="false" outlineLevel="0" collapsed="false">
      <c r="A28" s="4" t="n">
        <v>24</v>
      </c>
      <c r="B28" s="5" t="s">
        <v>75</v>
      </c>
      <c r="C28" s="5" t="s">
        <v>76</v>
      </c>
      <c r="D28" s="5" t="s">
        <v>77</v>
      </c>
      <c r="E28" s="6" t="n">
        <v>1</v>
      </c>
      <c r="F28" s="7" t="n">
        <v>0</v>
      </c>
      <c r="G28" s="8" t="n">
        <f aca="false">E28*F28</f>
        <v>0</v>
      </c>
      <c r="H28" s="4" t="s">
        <v>77</v>
      </c>
      <c r="I28" s="4" t="s">
        <v>78</v>
      </c>
      <c r="J28" s="5" t="s">
        <v>79</v>
      </c>
      <c r="K28" s="5" t="s">
        <v>80</v>
      </c>
    </row>
    <row r="29" customFormat="false" ht="23.85" hidden="false" customHeight="false" outlineLevel="0" collapsed="false">
      <c r="A29" s="4" t="n">
        <v>25</v>
      </c>
      <c r="B29" s="5" t="s">
        <v>75</v>
      </c>
      <c r="C29" s="5" t="s">
        <v>81</v>
      </c>
      <c r="D29" s="5" t="s">
        <v>82</v>
      </c>
      <c r="E29" s="6" t="n">
        <v>1</v>
      </c>
      <c r="F29" s="7" t="n">
        <v>15</v>
      </c>
      <c r="G29" s="8" t="n">
        <f aca="false">E29*F29</f>
        <v>15</v>
      </c>
      <c r="H29" s="4" t="s">
        <v>29</v>
      </c>
      <c r="I29" s="9" t="s">
        <v>17</v>
      </c>
      <c r="J29" s="5" t="s">
        <v>82</v>
      </c>
      <c r="K29" s="5" t="s">
        <v>83</v>
      </c>
    </row>
    <row r="30" customFormat="false" ht="46.25" hidden="false" customHeight="false" outlineLevel="0" collapsed="false">
      <c r="A30" s="4" t="n">
        <v>26</v>
      </c>
      <c r="B30" s="5" t="s">
        <v>84</v>
      </c>
      <c r="C30" s="5" t="s">
        <v>85</v>
      </c>
      <c r="D30" s="5" t="s">
        <v>86</v>
      </c>
      <c r="E30" s="6" t="n">
        <v>1</v>
      </c>
      <c r="F30" s="7" t="n">
        <v>300</v>
      </c>
      <c r="G30" s="8" t="n">
        <f aca="false">E30*F30</f>
        <v>300</v>
      </c>
      <c r="H30" s="4" t="s">
        <v>16</v>
      </c>
      <c r="I30" s="9" t="s">
        <v>17</v>
      </c>
      <c r="J30" s="5" t="s">
        <v>47</v>
      </c>
      <c r="K30" s="5" t="s">
        <v>87</v>
      </c>
    </row>
    <row r="31" customFormat="false" ht="46.25" hidden="false" customHeight="false" outlineLevel="0" collapsed="false">
      <c r="A31" s="4" t="n">
        <v>27</v>
      </c>
      <c r="B31" s="5" t="s">
        <v>84</v>
      </c>
      <c r="C31" s="5" t="s">
        <v>88</v>
      </c>
      <c r="D31" s="5"/>
      <c r="E31" s="6" t="n">
        <v>1</v>
      </c>
      <c r="F31" s="7" t="n">
        <v>60</v>
      </c>
      <c r="G31" s="8" t="n">
        <f aca="false">E31*F31</f>
        <v>60</v>
      </c>
      <c r="H31" s="4" t="s">
        <v>16</v>
      </c>
      <c r="I31" s="9" t="s">
        <v>17</v>
      </c>
      <c r="J31" s="5" t="s">
        <v>89</v>
      </c>
      <c r="K31" s="5" t="s">
        <v>90</v>
      </c>
    </row>
    <row r="32" customFormat="false" ht="15" hidden="false" customHeight="false" outlineLevel="0" collapsed="false">
      <c r="A32" s="4" t="n">
        <v>28</v>
      </c>
      <c r="B32" s="5" t="s">
        <v>84</v>
      </c>
      <c r="C32" s="5" t="s">
        <v>91</v>
      </c>
      <c r="D32" s="5"/>
      <c r="E32" s="6" t="n">
        <v>1</v>
      </c>
      <c r="F32" s="7" t="n">
        <v>20</v>
      </c>
      <c r="G32" s="8" t="n">
        <f aca="false">E32*F32</f>
        <v>20</v>
      </c>
      <c r="H32" s="4" t="s">
        <v>16</v>
      </c>
      <c r="I32" s="9" t="s">
        <v>17</v>
      </c>
      <c r="J32" s="5" t="s">
        <v>47</v>
      </c>
      <c r="K32" s="5"/>
    </row>
    <row r="33" customFormat="false" ht="15" hidden="false" customHeight="false" outlineLevel="0" collapsed="false">
      <c r="A33" s="4" t="n">
        <v>29</v>
      </c>
      <c r="B33" s="5" t="s">
        <v>84</v>
      </c>
      <c r="C33" s="5" t="s">
        <v>92</v>
      </c>
      <c r="D33" s="5"/>
      <c r="E33" s="6" t="n">
        <v>1</v>
      </c>
      <c r="F33" s="7" t="n">
        <v>30</v>
      </c>
      <c r="G33" s="8" t="n">
        <f aca="false">E33*F33</f>
        <v>30</v>
      </c>
      <c r="H33" s="4" t="s">
        <v>16</v>
      </c>
      <c r="I33" s="9" t="s">
        <v>17</v>
      </c>
      <c r="J33" s="5" t="s">
        <v>47</v>
      </c>
      <c r="K33" s="5"/>
    </row>
    <row r="34" customFormat="false" ht="15" hidden="false" customHeight="false" outlineLevel="0" collapsed="false">
      <c r="A34" s="4" t="n">
        <v>30</v>
      </c>
      <c r="B34" s="5" t="s">
        <v>84</v>
      </c>
      <c r="C34" s="5" t="s">
        <v>93</v>
      </c>
      <c r="D34" s="5"/>
      <c r="E34" s="6" t="n">
        <v>1</v>
      </c>
      <c r="F34" s="7" t="n">
        <v>40</v>
      </c>
      <c r="G34" s="8" t="n">
        <f aca="false">E34*F34</f>
        <v>40</v>
      </c>
      <c r="H34" s="4" t="s">
        <v>16</v>
      </c>
      <c r="I34" s="9" t="s">
        <v>17</v>
      </c>
      <c r="J34" s="5" t="s">
        <v>47</v>
      </c>
      <c r="K34" s="5" t="s">
        <v>94</v>
      </c>
    </row>
    <row r="35" customFormat="false" ht="15" hidden="false" customHeight="false" outlineLevel="0" collapsed="false">
      <c r="A35" s="4" t="n">
        <v>31</v>
      </c>
      <c r="B35" s="5" t="s">
        <v>95</v>
      </c>
      <c r="C35" s="5" t="s">
        <v>96</v>
      </c>
      <c r="D35" s="5"/>
      <c r="E35" s="6" t="n">
        <v>2</v>
      </c>
      <c r="F35" s="7" t="n">
        <v>25</v>
      </c>
      <c r="G35" s="8" t="n">
        <f aca="false">E35*F35</f>
        <v>50</v>
      </c>
      <c r="H35" s="4" t="s">
        <v>16</v>
      </c>
      <c r="I35" s="9" t="s">
        <v>17</v>
      </c>
      <c r="J35" s="5" t="s">
        <v>47</v>
      </c>
      <c r="K35" s="5" t="s">
        <v>97</v>
      </c>
    </row>
    <row r="36" customFormat="false" ht="23.85" hidden="false" customHeight="false" outlineLevel="0" collapsed="false">
      <c r="A36" s="4" t="n">
        <v>32</v>
      </c>
      <c r="B36" s="5" t="s">
        <v>95</v>
      </c>
      <c r="C36" s="5" t="s">
        <v>98</v>
      </c>
      <c r="D36" s="5" t="s">
        <v>99</v>
      </c>
      <c r="E36" s="6" t="n">
        <v>1</v>
      </c>
      <c r="F36" s="7" t="n">
        <v>110</v>
      </c>
      <c r="G36" s="8" t="n">
        <f aca="false">E36*F36</f>
        <v>110</v>
      </c>
      <c r="H36" s="4" t="s">
        <v>16</v>
      </c>
      <c r="I36" s="9" t="s">
        <v>17</v>
      </c>
      <c r="J36" s="5" t="s">
        <v>47</v>
      </c>
      <c r="K36" s="5" t="s">
        <v>100</v>
      </c>
    </row>
    <row r="37" customFormat="false" ht="15" hidden="false" customHeight="false" outlineLevel="0" collapsed="false">
      <c r="A37" s="4" t="n">
        <v>33</v>
      </c>
      <c r="B37" s="5" t="s">
        <v>95</v>
      </c>
      <c r="C37" s="5" t="s">
        <v>101</v>
      </c>
      <c r="D37" s="5" t="s">
        <v>102</v>
      </c>
      <c r="E37" s="6" t="n">
        <v>1</v>
      </c>
      <c r="F37" s="7" t="n">
        <v>180</v>
      </c>
      <c r="G37" s="8" t="n">
        <f aca="false">E37*F37</f>
        <v>180</v>
      </c>
      <c r="H37" s="4" t="s">
        <v>71</v>
      </c>
      <c r="I37" s="9" t="s">
        <v>17</v>
      </c>
      <c r="J37" s="5" t="s">
        <v>47</v>
      </c>
      <c r="K37" s="5"/>
    </row>
    <row r="38" customFormat="false" ht="15" hidden="false" customHeight="false" outlineLevel="0" collapsed="false">
      <c r="A38" s="4" t="n">
        <v>34</v>
      </c>
      <c r="B38" s="5" t="s">
        <v>95</v>
      </c>
      <c r="C38" s="5" t="s">
        <v>103</v>
      </c>
      <c r="D38" s="5"/>
      <c r="E38" s="6" t="n">
        <v>1</v>
      </c>
      <c r="F38" s="7" t="n">
        <v>150</v>
      </c>
      <c r="G38" s="8" t="n">
        <f aca="false">E38*F38</f>
        <v>150</v>
      </c>
      <c r="H38" s="4" t="s">
        <v>71</v>
      </c>
      <c r="I38" s="9" t="s">
        <v>17</v>
      </c>
      <c r="J38" s="5" t="s">
        <v>47</v>
      </c>
      <c r="K38" s="5" t="s">
        <v>104</v>
      </c>
    </row>
    <row r="39" customFormat="false" ht="15" hidden="false" customHeight="false" outlineLevel="0" collapsed="false">
      <c r="A39" s="4" t="n">
        <v>35</v>
      </c>
      <c r="B39" s="5" t="s">
        <v>95</v>
      </c>
      <c r="C39" s="5" t="s">
        <v>105</v>
      </c>
      <c r="D39" s="5"/>
      <c r="E39" s="6" t="n">
        <v>1</v>
      </c>
      <c r="F39" s="7" t="n">
        <v>25</v>
      </c>
      <c r="G39" s="8" t="n">
        <f aca="false">E39*F39</f>
        <v>25</v>
      </c>
      <c r="H39" s="4" t="s">
        <v>71</v>
      </c>
      <c r="I39" s="9" t="s">
        <v>17</v>
      </c>
      <c r="J39" s="5" t="s">
        <v>47</v>
      </c>
      <c r="K39" s="5" t="s">
        <v>106</v>
      </c>
    </row>
    <row r="40" customFormat="false" ht="23.85" hidden="false" customHeight="false" outlineLevel="0" collapsed="false">
      <c r="A40" s="4" t="n">
        <v>36</v>
      </c>
      <c r="B40" s="5" t="s">
        <v>107</v>
      </c>
      <c r="C40" s="5" t="s">
        <v>108</v>
      </c>
      <c r="D40" s="5"/>
      <c r="E40" s="6" t="n">
        <v>1</v>
      </c>
      <c r="F40" s="7" t="n">
        <v>40</v>
      </c>
      <c r="G40" s="8" t="n">
        <f aca="false">E40*F40</f>
        <v>40</v>
      </c>
      <c r="H40" s="4" t="s">
        <v>71</v>
      </c>
      <c r="I40" s="9" t="s">
        <v>17</v>
      </c>
      <c r="J40" s="5" t="s">
        <v>89</v>
      </c>
      <c r="K40" s="5" t="s">
        <v>109</v>
      </c>
    </row>
    <row r="41" customFormat="false" ht="15" hidden="false" customHeight="false" outlineLevel="0" collapsed="false">
      <c r="A41" s="4" t="n">
        <v>37</v>
      </c>
      <c r="B41" s="5" t="s">
        <v>107</v>
      </c>
      <c r="C41" s="5" t="s">
        <v>110</v>
      </c>
      <c r="D41" s="5"/>
      <c r="E41" s="6" t="n">
        <v>1</v>
      </c>
      <c r="F41" s="7" t="n">
        <v>60</v>
      </c>
      <c r="G41" s="8" t="n">
        <f aca="false">E41*F41</f>
        <v>60</v>
      </c>
      <c r="H41" s="4" t="s">
        <v>16</v>
      </c>
      <c r="I41" s="9" t="s">
        <v>17</v>
      </c>
      <c r="J41" s="5" t="s">
        <v>111</v>
      </c>
      <c r="K41" s="5" t="s">
        <v>112</v>
      </c>
    </row>
    <row r="42" customFormat="false" ht="57.45" hidden="false" customHeight="false" outlineLevel="0" collapsed="false">
      <c r="A42" s="4" t="n">
        <v>38</v>
      </c>
      <c r="B42" s="5" t="s">
        <v>107</v>
      </c>
      <c r="C42" s="5" t="s">
        <v>113</v>
      </c>
      <c r="D42" s="5"/>
      <c r="E42" s="6" t="n">
        <v>1</v>
      </c>
      <c r="F42" s="7" t="n">
        <v>70</v>
      </c>
      <c r="G42" s="8" t="n">
        <f aca="false">E42*F42</f>
        <v>70</v>
      </c>
      <c r="H42" s="4" t="s">
        <v>16</v>
      </c>
      <c r="I42" s="9" t="s">
        <v>17</v>
      </c>
      <c r="J42" s="5" t="s">
        <v>114</v>
      </c>
      <c r="K42" s="5" t="s">
        <v>115</v>
      </c>
    </row>
    <row r="43" customFormat="false" ht="35.05" hidden="false" customHeight="false" outlineLevel="0" collapsed="false">
      <c r="A43" s="4" t="n">
        <v>39</v>
      </c>
      <c r="B43" s="5" t="s">
        <v>107</v>
      </c>
      <c r="C43" s="5" t="s">
        <v>116</v>
      </c>
      <c r="D43" s="5"/>
      <c r="E43" s="6" t="n">
        <v>1</v>
      </c>
      <c r="F43" s="7" t="n">
        <v>35</v>
      </c>
      <c r="G43" s="8" t="n">
        <f aca="false">E43*F43</f>
        <v>35</v>
      </c>
      <c r="H43" s="4" t="s">
        <v>16</v>
      </c>
      <c r="I43" s="9" t="s">
        <v>17</v>
      </c>
      <c r="J43" s="5" t="s">
        <v>47</v>
      </c>
      <c r="K43" s="5" t="s">
        <v>117</v>
      </c>
    </row>
    <row r="44" customFormat="false" ht="35.05" hidden="false" customHeight="false" outlineLevel="0" collapsed="false">
      <c r="A44" s="4" t="n">
        <v>40</v>
      </c>
      <c r="B44" s="5" t="s">
        <v>107</v>
      </c>
      <c r="C44" s="5" t="s">
        <v>118</v>
      </c>
      <c r="D44" s="5"/>
      <c r="E44" s="6" t="n">
        <v>1</v>
      </c>
      <c r="F44" s="7" t="n">
        <v>15</v>
      </c>
      <c r="G44" s="8" t="n">
        <f aca="false">E44*F44</f>
        <v>15</v>
      </c>
      <c r="H44" s="4" t="s">
        <v>16</v>
      </c>
      <c r="I44" s="9" t="s">
        <v>17</v>
      </c>
      <c r="J44" s="5" t="s">
        <v>47</v>
      </c>
      <c r="K44" s="5" t="s">
        <v>119</v>
      </c>
    </row>
    <row r="45" customFormat="false" ht="23.85" hidden="false" customHeight="false" outlineLevel="0" collapsed="false">
      <c r="A45" s="4" t="n">
        <v>41</v>
      </c>
      <c r="B45" s="5" t="s">
        <v>107</v>
      </c>
      <c r="C45" s="5" t="s">
        <v>120</v>
      </c>
      <c r="D45" s="5"/>
      <c r="E45" s="6" t="n">
        <v>1</v>
      </c>
      <c r="F45" s="7" t="n">
        <v>20</v>
      </c>
      <c r="G45" s="8" t="n">
        <f aca="false">E45*F45</f>
        <v>20</v>
      </c>
      <c r="H45" s="4" t="s">
        <v>16</v>
      </c>
      <c r="I45" s="9" t="s">
        <v>17</v>
      </c>
      <c r="J45" s="5" t="s">
        <v>47</v>
      </c>
      <c r="K45" s="5" t="s">
        <v>121</v>
      </c>
    </row>
    <row r="46" customFormat="false" ht="46.25" hidden="false" customHeight="false" outlineLevel="0" collapsed="false">
      <c r="A46" s="4" t="n">
        <v>42</v>
      </c>
      <c r="B46" s="5" t="s">
        <v>107</v>
      </c>
      <c r="C46" s="5" t="s">
        <v>122</v>
      </c>
      <c r="D46" s="5"/>
      <c r="E46" s="6" t="n">
        <v>1</v>
      </c>
      <c r="F46" s="7" t="n">
        <v>10</v>
      </c>
      <c r="G46" s="8" t="n">
        <f aca="false">E46*F46</f>
        <v>10</v>
      </c>
      <c r="H46" s="4" t="s">
        <v>16</v>
      </c>
      <c r="I46" s="9" t="s">
        <v>17</v>
      </c>
      <c r="J46" s="5" t="s">
        <v>47</v>
      </c>
      <c r="K46" s="5" t="s">
        <v>123</v>
      </c>
    </row>
    <row r="47" customFormat="false" ht="23.85" hidden="false" customHeight="false" outlineLevel="0" collapsed="false">
      <c r="A47" s="4" t="n">
        <v>43</v>
      </c>
      <c r="B47" s="5" t="s">
        <v>107</v>
      </c>
      <c r="C47" s="5" t="s">
        <v>124</v>
      </c>
      <c r="D47" s="5"/>
      <c r="E47" s="6" t="n">
        <v>1</v>
      </c>
      <c r="F47" s="7" t="n">
        <v>12</v>
      </c>
      <c r="G47" s="8" t="n">
        <f aca="false">E47*F47</f>
        <v>12</v>
      </c>
      <c r="H47" s="4" t="s">
        <v>71</v>
      </c>
      <c r="I47" s="9" t="s">
        <v>17</v>
      </c>
      <c r="J47" s="5" t="s">
        <v>47</v>
      </c>
      <c r="K47" s="5" t="s">
        <v>125</v>
      </c>
    </row>
    <row r="48" customFormat="false" ht="23.85" hidden="false" customHeight="false" outlineLevel="0" collapsed="false">
      <c r="A48" s="4" t="n">
        <v>44</v>
      </c>
      <c r="B48" s="5" t="s">
        <v>107</v>
      </c>
      <c r="C48" s="5" t="s">
        <v>126</v>
      </c>
      <c r="D48" s="5"/>
      <c r="E48" s="6" t="n">
        <v>1</v>
      </c>
      <c r="F48" s="7" t="n">
        <v>20</v>
      </c>
      <c r="G48" s="8" t="n">
        <f aca="false">E48*F48</f>
        <v>20</v>
      </c>
      <c r="H48" s="4" t="s">
        <v>16</v>
      </c>
      <c r="I48" s="9" t="s">
        <v>17</v>
      </c>
      <c r="J48" s="5" t="s">
        <v>47</v>
      </c>
      <c r="K48" s="5" t="s">
        <v>127</v>
      </c>
    </row>
    <row r="49" customFormat="false" ht="15" hidden="false" customHeight="false" outlineLevel="0" collapsed="false">
      <c r="A49" s="4" t="n">
        <v>45</v>
      </c>
      <c r="B49" s="5" t="s">
        <v>107</v>
      </c>
      <c r="C49" s="5" t="s">
        <v>128</v>
      </c>
      <c r="D49" s="5"/>
      <c r="E49" s="6" t="n">
        <v>1</v>
      </c>
      <c r="F49" s="7" t="n">
        <v>15</v>
      </c>
      <c r="G49" s="8" t="n">
        <f aca="false">E49*F49</f>
        <v>15</v>
      </c>
      <c r="H49" s="4" t="s">
        <v>71</v>
      </c>
      <c r="I49" s="9" t="s">
        <v>17</v>
      </c>
      <c r="J49" s="5" t="s">
        <v>47</v>
      </c>
      <c r="K49" s="5" t="s">
        <v>129</v>
      </c>
    </row>
    <row r="50" customFormat="false" ht="23.85" hidden="false" customHeight="false" outlineLevel="0" collapsed="false">
      <c r="A50" s="4" t="n">
        <v>46</v>
      </c>
      <c r="B50" s="5" t="s">
        <v>107</v>
      </c>
      <c r="C50" s="5" t="s">
        <v>130</v>
      </c>
      <c r="D50" s="5"/>
      <c r="E50" s="6" t="n">
        <v>1</v>
      </c>
      <c r="F50" s="7" t="n">
        <v>40</v>
      </c>
      <c r="G50" s="8" t="n">
        <f aca="false">E50*F50</f>
        <v>40</v>
      </c>
      <c r="H50" s="4" t="s">
        <v>29</v>
      </c>
      <c r="I50" s="9" t="s">
        <v>17</v>
      </c>
      <c r="J50" s="5" t="s">
        <v>47</v>
      </c>
      <c r="K50" s="5" t="s">
        <v>131</v>
      </c>
    </row>
    <row r="51" customFormat="false" ht="15" hidden="false" customHeight="false" outlineLevel="0" collapsed="false">
      <c r="A51" s="4" t="n">
        <v>47</v>
      </c>
      <c r="B51" s="5" t="s">
        <v>107</v>
      </c>
      <c r="C51" s="5" t="s">
        <v>132</v>
      </c>
      <c r="D51" s="5"/>
      <c r="E51" s="6" t="n">
        <v>1</v>
      </c>
      <c r="F51" s="7" t="n">
        <v>20</v>
      </c>
      <c r="G51" s="8" t="n">
        <f aca="false">E51*F51</f>
        <v>20</v>
      </c>
      <c r="H51" s="4" t="s">
        <v>71</v>
      </c>
      <c r="I51" s="9" t="s">
        <v>17</v>
      </c>
      <c r="J51" s="5" t="s">
        <v>47</v>
      </c>
      <c r="K51" s="5"/>
    </row>
    <row r="52" customFormat="false" ht="15" hidden="false" customHeight="false" outlineLevel="0" collapsed="false">
      <c r="A52" s="4" t="n">
        <v>48</v>
      </c>
      <c r="B52" s="5" t="s">
        <v>133</v>
      </c>
      <c r="C52" s="5" t="s">
        <v>134</v>
      </c>
      <c r="D52" s="5"/>
      <c r="E52" s="6" t="n">
        <v>1</v>
      </c>
      <c r="F52" s="7" t="n">
        <v>350</v>
      </c>
      <c r="G52" s="8" t="n">
        <f aca="false">E52*F52</f>
        <v>350</v>
      </c>
      <c r="H52" s="4" t="s">
        <v>16</v>
      </c>
      <c r="I52" s="9" t="s">
        <v>17</v>
      </c>
      <c r="J52" s="5" t="s">
        <v>47</v>
      </c>
      <c r="K52" s="5" t="s">
        <v>135</v>
      </c>
    </row>
    <row r="53" customFormat="false" ht="15" hidden="false" customHeight="false" outlineLevel="0" collapsed="false">
      <c r="A53" s="4" t="n">
        <v>49</v>
      </c>
      <c r="B53" s="5" t="s">
        <v>133</v>
      </c>
      <c r="C53" s="5" t="s">
        <v>136</v>
      </c>
      <c r="D53" s="5"/>
      <c r="E53" s="6" t="n">
        <v>1</v>
      </c>
      <c r="F53" s="7" t="n">
        <v>200</v>
      </c>
      <c r="G53" s="8" t="n">
        <f aca="false">E53*F53</f>
        <v>200</v>
      </c>
      <c r="H53" s="4" t="s">
        <v>16</v>
      </c>
      <c r="I53" s="9" t="s">
        <v>17</v>
      </c>
      <c r="J53" s="5" t="s">
        <v>47</v>
      </c>
      <c r="K53" s="5"/>
    </row>
    <row r="54" customFormat="false" ht="15" hidden="false" customHeight="false" outlineLevel="0" collapsed="false">
      <c r="A54" s="4" t="n">
        <v>50</v>
      </c>
      <c r="B54" s="5" t="s">
        <v>133</v>
      </c>
      <c r="C54" s="5" t="s">
        <v>137</v>
      </c>
      <c r="D54" s="5"/>
      <c r="E54" s="6" t="n">
        <v>1</v>
      </c>
      <c r="F54" s="7" t="n">
        <v>60</v>
      </c>
      <c r="G54" s="8" t="n">
        <f aca="false">E54*F54</f>
        <v>60</v>
      </c>
      <c r="H54" s="4" t="s">
        <v>16</v>
      </c>
      <c r="I54" s="9" t="s">
        <v>17</v>
      </c>
      <c r="J54" s="5" t="s">
        <v>47</v>
      </c>
      <c r="K54" s="5"/>
    </row>
    <row r="55" customFormat="false" ht="23.85" hidden="false" customHeight="false" outlineLevel="0" collapsed="false">
      <c r="A55" s="4" t="n">
        <v>51</v>
      </c>
      <c r="B55" s="5" t="s">
        <v>133</v>
      </c>
      <c r="C55" s="5" t="s">
        <v>138</v>
      </c>
      <c r="D55" s="5"/>
      <c r="E55" s="6" t="n">
        <v>1</v>
      </c>
      <c r="F55" s="7" t="n">
        <v>60</v>
      </c>
      <c r="G55" s="8" t="n">
        <f aca="false">E55*F55</f>
        <v>60</v>
      </c>
      <c r="H55" s="4" t="s">
        <v>71</v>
      </c>
      <c r="I55" s="9" t="s">
        <v>17</v>
      </c>
      <c r="J55" s="5" t="s">
        <v>47</v>
      </c>
      <c r="K55" s="5" t="s">
        <v>139</v>
      </c>
    </row>
    <row r="56" customFormat="false" ht="23.85" hidden="false" customHeight="false" outlineLevel="0" collapsed="false">
      <c r="A56" s="4" t="n">
        <v>52</v>
      </c>
      <c r="B56" s="5" t="s">
        <v>133</v>
      </c>
      <c r="C56" s="5" t="s">
        <v>140</v>
      </c>
      <c r="D56" s="5"/>
      <c r="E56" s="6" t="n">
        <v>1</v>
      </c>
      <c r="F56" s="7" t="n">
        <v>40</v>
      </c>
      <c r="G56" s="8" t="n">
        <f aca="false">E56*F56</f>
        <v>40</v>
      </c>
      <c r="H56" s="4" t="s">
        <v>71</v>
      </c>
      <c r="I56" s="9" t="s">
        <v>17</v>
      </c>
      <c r="J56" s="5" t="s">
        <v>47</v>
      </c>
      <c r="K56" s="5" t="s">
        <v>141</v>
      </c>
    </row>
    <row r="57" customFormat="false" ht="15" hidden="false" customHeight="false" outlineLevel="0" collapsed="false">
      <c r="A57" s="4" t="n">
        <v>53</v>
      </c>
      <c r="B57" s="5" t="s">
        <v>133</v>
      </c>
      <c r="C57" s="5" t="s">
        <v>142</v>
      </c>
      <c r="D57" s="5"/>
      <c r="E57" s="6" t="n">
        <v>1</v>
      </c>
      <c r="F57" s="7" t="n">
        <v>40</v>
      </c>
      <c r="G57" s="8" t="n">
        <f aca="false">E57*F57</f>
        <v>40</v>
      </c>
      <c r="H57" s="4" t="s">
        <v>16</v>
      </c>
      <c r="I57" s="9" t="s">
        <v>17</v>
      </c>
      <c r="J57" s="5" t="s">
        <v>47</v>
      </c>
      <c r="K57" s="5"/>
    </row>
    <row r="58" customFormat="false" ht="35.05" hidden="false" customHeight="false" outlineLevel="0" collapsed="false">
      <c r="A58" s="4" t="n">
        <v>54</v>
      </c>
      <c r="B58" s="5" t="s">
        <v>143</v>
      </c>
      <c r="C58" s="5" t="s">
        <v>144</v>
      </c>
      <c r="D58" s="5"/>
      <c r="E58" s="6" t="n">
        <v>1</v>
      </c>
      <c r="F58" s="7" t="n">
        <v>99</v>
      </c>
      <c r="G58" s="8" t="n">
        <f aca="false">E58*F58</f>
        <v>99</v>
      </c>
      <c r="H58" s="4" t="s">
        <v>71</v>
      </c>
      <c r="I58" s="9" t="s">
        <v>17</v>
      </c>
      <c r="J58" s="5" t="s">
        <v>145</v>
      </c>
      <c r="K58" s="5" t="s">
        <v>146</v>
      </c>
    </row>
    <row r="59" customFormat="false" ht="15" hidden="false" customHeight="false" outlineLevel="0" collapsed="false">
      <c r="A59" s="4" t="n">
        <v>55</v>
      </c>
      <c r="B59" s="5" t="s">
        <v>143</v>
      </c>
      <c r="C59" s="5" t="s">
        <v>147</v>
      </c>
      <c r="D59" s="5"/>
      <c r="E59" s="6" t="n">
        <v>1</v>
      </c>
      <c r="F59" s="7" t="n">
        <v>100</v>
      </c>
      <c r="G59" s="8" t="n">
        <f aca="false">E59*F59</f>
        <v>100</v>
      </c>
      <c r="H59" s="4" t="s">
        <v>16</v>
      </c>
      <c r="I59" s="9" t="s">
        <v>17</v>
      </c>
      <c r="J59" s="5" t="s">
        <v>47</v>
      </c>
      <c r="K59" s="5"/>
    </row>
    <row r="61" customFormat="false" ht="15" hidden="false" customHeight="false" outlineLevel="0" collapsed="false">
      <c r="F61" s="10" t="s">
        <v>148</v>
      </c>
      <c r="G61" s="11" t="n">
        <f aca="false">SUM(G5:G59)</f>
        <v>6863</v>
      </c>
    </row>
    <row r="62" customFormat="false" ht="15" hidden="false" customHeight="false" outlineLevel="0" collapsed="false">
      <c r="C62" s="12" t="s">
        <v>149</v>
      </c>
    </row>
  </sheetData>
  <autoFilter ref="A4:K59"/>
  <mergeCells count="1">
    <mergeCell ref="A2:K2"/>
  </mergeCells>
  <dataValidations count="2">
    <dataValidation allowBlank="false" errorStyle="stop" operator="between" showDropDown="false" showErrorMessage="false" showInputMessage="false" sqref="H5:H59" type="list">
      <formula1>"Required,Recommended,Optional,Existing"</formula1>
      <formula2>0</formula2>
    </dataValidation>
    <dataValidation allowBlank="false" errorStyle="stop" operator="between" showDropDown="false" showErrorMessage="false" showInputMessage="false" sqref="I5:I59" type="list">
      <formula1>"Verified,Estimate,n/a"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5" min="2" style="0" width="18"/>
  </cols>
  <sheetData>
    <row r="1" customFormat="false" ht="17.35" hidden="false" customHeight="false" outlineLevel="0" collapsed="false">
      <c r="A1" s="1" t="s">
        <v>150</v>
      </c>
    </row>
    <row r="2" customFormat="false" ht="15" hidden="false" customHeight="false" outlineLevel="0" collapsed="false">
      <c r="A2" s="12" t="s">
        <v>151</v>
      </c>
    </row>
    <row r="4" customFormat="false" ht="15" hidden="false" customHeight="false" outlineLevel="0" collapsed="false">
      <c r="A4" s="3" t="s">
        <v>3</v>
      </c>
      <c r="B4" s="3" t="s">
        <v>152</v>
      </c>
      <c r="C4" s="3" t="s">
        <v>153</v>
      </c>
      <c r="D4" s="3" t="s">
        <v>154</v>
      </c>
      <c r="E4" s="3" t="s">
        <v>155</v>
      </c>
    </row>
    <row r="5" customFormat="false" ht="15" hidden="false" customHeight="false" outlineLevel="0" collapsed="false">
      <c r="A5" s="13" t="s">
        <v>13</v>
      </c>
      <c r="B5" s="14" t="n">
        <f aca="false">SUMIFS(BOM!$G$5:$G$59,BOM!$B$5:$B$59,$A5,BOM!$H$5:$H$59,"Required")</f>
        <v>2140</v>
      </c>
      <c r="C5" s="14" t="n">
        <f aca="false">SUMIFS(BOM!$G$5:$G$59,BOM!$B$5:$B$59,$A5,BOM!$H$5:$H$59,"Recommended")</f>
        <v>0</v>
      </c>
      <c r="D5" s="14" t="n">
        <f aca="false">SUMIFS(BOM!$G$5:$G$59,BOM!$B$5:$B$59,$A5,BOM!$H$5:$H$59,"Optional")</f>
        <v>60</v>
      </c>
      <c r="E5" s="14" t="n">
        <f aca="false">SUM(B5:D5)</f>
        <v>2200</v>
      </c>
    </row>
    <row r="6" customFormat="false" ht="15" hidden="false" customHeight="false" outlineLevel="0" collapsed="false">
      <c r="A6" s="13" t="s">
        <v>30</v>
      </c>
      <c r="B6" s="14" t="n">
        <f aca="false">SUMIFS(BOM!$G$5:$G$59,BOM!$B$5:$B$59,$A6,BOM!$H$5:$H$59,"Required")</f>
        <v>1210</v>
      </c>
      <c r="C6" s="14" t="n">
        <f aca="false">SUMIFS(BOM!$G$5:$G$59,BOM!$B$5:$B$59,$A6,BOM!$H$5:$H$59,"Recommended")</f>
        <v>0</v>
      </c>
      <c r="D6" s="14" t="n">
        <f aca="false">SUMIFS(BOM!$G$5:$G$59,BOM!$B$5:$B$59,$A6,BOM!$H$5:$H$59,"Optional")</f>
        <v>12</v>
      </c>
      <c r="E6" s="14" t="n">
        <f aca="false">SUM(B6:D6)</f>
        <v>1222</v>
      </c>
    </row>
    <row r="7" customFormat="false" ht="15" hidden="false" customHeight="false" outlineLevel="0" collapsed="false">
      <c r="A7" s="13" t="s">
        <v>61</v>
      </c>
      <c r="B7" s="14" t="n">
        <f aca="false">SUMIFS(BOM!$G$5:$G$59,BOM!$B$5:$B$59,$A7,BOM!$H$5:$H$59,"Required")</f>
        <v>925</v>
      </c>
      <c r="C7" s="14" t="n">
        <f aca="false">SUMIFS(BOM!$G$5:$G$59,BOM!$B$5:$B$59,$A7,BOM!$H$5:$H$59,"Recommended")</f>
        <v>230</v>
      </c>
      <c r="D7" s="14" t="n">
        <f aca="false">SUMIFS(BOM!$G$5:$G$59,BOM!$B$5:$B$59,$A7,BOM!$H$5:$H$59,"Optional")</f>
        <v>0</v>
      </c>
      <c r="E7" s="14" t="n">
        <f aca="false">SUM(B7:D7)</f>
        <v>1155</v>
      </c>
    </row>
    <row r="8" customFormat="false" ht="15" hidden="false" customHeight="false" outlineLevel="0" collapsed="false">
      <c r="A8" s="13" t="s">
        <v>75</v>
      </c>
      <c r="B8" s="14" t="n">
        <f aca="false">SUMIFS(BOM!$G$5:$G$59,BOM!$B$5:$B$59,$A8,BOM!$H$5:$H$59,"Required")</f>
        <v>0</v>
      </c>
      <c r="C8" s="14" t="n">
        <f aca="false">SUMIFS(BOM!$G$5:$G$59,BOM!$B$5:$B$59,$A8,BOM!$H$5:$H$59,"Recommended")</f>
        <v>0</v>
      </c>
      <c r="D8" s="14" t="n">
        <f aca="false">SUMIFS(BOM!$G$5:$G$59,BOM!$B$5:$B$59,$A8,BOM!$H$5:$H$59,"Optional")</f>
        <v>15</v>
      </c>
      <c r="E8" s="14" t="n">
        <f aca="false">SUM(B8:D8)</f>
        <v>15</v>
      </c>
    </row>
    <row r="9" customFormat="false" ht="15" hidden="false" customHeight="false" outlineLevel="0" collapsed="false">
      <c r="A9" s="13" t="s">
        <v>84</v>
      </c>
      <c r="B9" s="14" t="n">
        <f aca="false">SUMIFS(BOM!$G$5:$G$59,BOM!$B$5:$B$59,$A9,BOM!$H$5:$H$59,"Required")</f>
        <v>450</v>
      </c>
      <c r="C9" s="14" t="n">
        <f aca="false">SUMIFS(BOM!$G$5:$G$59,BOM!$B$5:$B$59,$A9,BOM!$H$5:$H$59,"Recommended")</f>
        <v>0</v>
      </c>
      <c r="D9" s="14" t="n">
        <f aca="false">SUMIFS(BOM!$G$5:$G$59,BOM!$B$5:$B$59,$A9,BOM!$H$5:$H$59,"Optional")</f>
        <v>0</v>
      </c>
      <c r="E9" s="14" t="n">
        <f aca="false">SUM(B9:D9)</f>
        <v>450</v>
      </c>
    </row>
    <row r="10" customFormat="false" ht="15" hidden="false" customHeight="false" outlineLevel="0" collapsed="false">
      <c r="A10" s="13" t="s">
        <v>95</v>
      </c>
      <c r="B10" s="14" t="n">
        <f aca="false">SUMIFS(BOM!$G$5:$G$59,BOM!$B$5:$B$59,$A10,BOM!$H$5:$H$59,"Required")</f>
        <v>160</v>
      </c>
      <c r="C10" s="14" t="n">
        <f aca="false">SUMIFS(BOM!$G$5:$G$59,BOM!$B$5:$B$59,$A10,BOM!$H$5:$H$59,"Recommended")</f>
        <v>355</v>
      </c>
      <c r="D10" s="14" t="n">
        <f aca="false">SUMIFS(BOM!$G$5:$G$59,BOM!$B$5:$B$59,$A10,BOM!$H$5:$H$59,"Optional")</f>
        <v>0</v>
      </c>
      <c r="E10" s="14" t="n">
        <f aca="false">SUM(B10:D10)</f>
        <v>515</v>
      </c>
    </row>
    <row r="11" customFormat="false" ht="15" hidden="false" customHeight="false" outlineLevel="0" collapsed="false">
      <c r="A11" s="13" t="s">
        <v>107</v>
      </c>
      <c r="B11" s="14" t="n">
        <f aca="false">SUMIFS(BOM!$G$5:$G$59,BOM!$B$5:$B$59,$A11,BOM!$H$5:$H$59,"Required")</f>
        <v>230</v>
      </c>
      <c r="C11" s="14" t="n">
        <f aca="false">SUMIFS(BOM!$G$5:$G$59,BOM!$B$5:$B$59,$A11,BOM!$H$5:$H$59,"Recommended")</f>
        <v>87</v>
      </c>
      <c r="D11" s="14" t="n">
        <f aca="false">SUMIFS(BOM!$G$5:$G$59,BOM!$B$5:$B$59,$A11,BOM!$H$5:$H$59,"Optional")</f>
        <v>40</v>
      </c>
      <c r="E11" s="14" t="n">
        <f aca="false">SUM(B11:D11)</f>
        <v>357</v>
      </c>
    </row>
    <row r="12" customFormat="false" ht="15" hidden="false" customHeight="false" outlineLevel="0" collapsed="false">
      <c r="A12" s="13" t="s">
        <v>133</v>
      </c>
      <c r="B12" s="14" t="n">
        <f aca="false">SUMIFS(BOM!$G$5:$G$59,BOM!$B$5:$B$59,$A12,BOM!$H$5:$H$59,"Required")</f>
        <v>650</v>
      </c>
      <c r="C12" s="14" t="n">
        <f aca="false">SUMIFS(BOM!$G$5:$G$59,BOM!$B$5:$B$59,$A12,BOM!$H$5:$H$59,"Recommended")</f>
        <v>100</v>
      </c>
      <c r="D12" s="14" t="n">
        <f aca="false">SUMIFS(BOM!$G$5:$G$59,BOM!$B$5:$B$59,$A12,BOM!$H$5:$H$59,"Optional")</f>
        <v>0</v>
      </c>
      <c r="E12" s="14" t="n">
        <f aca="false">SUM(B12:D12)</f>
        <v>750</v>
      </c>
    </row>
    <row r="13" customFormat="false" ht="15" hidden="false" customHeight="false" outlineLevel="0" collapsed="false">
      <c r="A13" s="13" t="s">
        <v>143</v>
      </c>
      <c r="B13" s="14" t="n">
        <f aca="false">SUMIFS(BOM!$G$5:$G$59,BOM!$B$5:$B$59,$A13,BOM!$H$5:$H$59,"Required")</f>
        <v>100</v>
      </c>
      <c r="C13" s="14" t="n">
        <f aca="false">SUMIFS(BOM!$G$5:$G$59,BOM!$B$5:$B$59,$A13,BOM!$H$5:$H$59,"Recommended")</f>
        <v>99</v>
      </c>
      <c r="D13" s="14" t="n">
        <f aca="false">SUMIFS(BOM!$G$5:$G$59,BOM!$B$5:$B$59,$A13,BOM!$H$5:$H$59,"Optional")</f>
        <v>0</v>
      </c>
      <c r="E13" s="14" t="n">
        <f aca="false">SUM(B13:D13)</f>
        <v>199</v>
      </c>
    </row>
    <row r="14" customFormat="false" ht="15" hidden="false" customHeight="false" outlineLevel="0" collapsed="false">
      <c r="A14" s="15" t="s">
        <v>156</v>
      </c>
      <c r="B14" s="16" t="n">
        <f aca="false">SUM(B5:B13)</f>
        <v>5865</v>
      </c>
      <c r="C14" s="16" t="n">
        <f aca="false">SUM(C5:C13)</f>
        <v>871</v>
      </c>
      <c r="D14" s="16" t="n">
        <f aca="false">SUM(D5:D13)</f>
        <v>127</v>
      </c>
      <c r="E14" s="16" t="n">
        <f aca="false">SUM(E5:E13)</f>
        <v>6863</v>
      </c>
    </row>
    <row r="16" customFormat="false" ht="15" hidden="false" customHeight="false" outlineLevel="0" collapsed="false">
      <c r="A16" s="17" t="s">
        <v>157</v>
      </c>
    </row>
    <row r="17" customFormat="false" ht="15" hidden="false" customHeight="false" outlineLevel="0" collapsed="false">
      <c r="A17" s="18" t="s">
        <v>158</v>
      </c>
      <c r="B17" s="19" t="n">
        <f aca="false">B14</f>
        <v>5865</v>
      </c>
    </row>
    <row r="18" customFormat="false" ht="15" hidden="false" customHeight="false" outlineLevel="0" collapsed="false">
      <c r="A18" s="18" t="s">
        <v>159</v>
      </c>
      <c r="B18" s="19" t="n">
        <f aca="false">B14+C14</f>
        <v>6736</v>
      </c>
    </row>
    <row r="19" customFormat="false" ht="15" hidden="false" customHeight="false" outlineLevel="0" collapsed="false">
      <c r="A19" s="18" t="s">
        <v>160</v>
      </c>
      <c r="B19" s="20" t="n">
        <v>0.15</v>
      </c>
      <c r="C19" s="12" t="s">
        <v>161</v>
      </c>
    </row>
    <row r="20" customFormat="false" ht="15" hidden="false" customHeight="false" outlineLevel="0" collapsed="false">
      <c r="A20" s="18" t="s">
        <v>162</v>
      </c>
      <c r="B20" s="19" t="n">
        <f aca="false">B18*B19</f>
        <v>1010.4</v>
      </c>
    </row>
    <row r="21" customFormat="false" ht="15" hidden="false" customHeight="false" outlineLevel="0" collapsed="false">
      <c r="A21" s="17" t="s">
        <v>163</v>
      </c>
      <c r="B21" s="21" t="n">
        <f aca="false">B18+B20</f>
        <v>7746.4</v>
      </c>
    </row>
    <row r="22" customFormat="false" ht="15" hidden="false" customHeight="false" outlineLevel="0" collapsed="false">
      <c r="A22" s="18" t="s">
        <v>164</v>
      </c>
      <c r="B22" s="19" t="n">
        <f aca="false">D14</f>
        <v>127</v>
      </c>
    </row>
    <row r="24" customFormat="false" ht="15" hidden="false" customHeight="false" outlineLevel="0" collapsed="false">
      <c r="A24" s="17" t="s">
        <v>165</v>
      </c>
    </row>
    <row r="25" customFormat="false" ht="15" hidden="false" customHeight="false" outlineLevel="0" collapsed="false">
      <c r="A25" s="18" t="s">
        <v>166</v>
      </c>
      <c r="B25" s="22" t="n">
        <f aca="false">BOM!G30/B18</f>
        <v>0.0445368171021378</v>
      </c>
    </row>
    <row r="26" customFormat="false" ht="15" hidden="false" customHeight="false" outlineLevel="0" collapsed="false">
      <c r="A26" s="18" t="s">
        <v>167</v>
      </c>
      <c r="B26" s="22" t="n">
        <f aca="false">(SUMIFS(BOM!$G$5:$G$59,BOM!$B$5:$B$59,"Swerve drive base"))/B18</f>
        <v>0.326603325415677</v>
      </c>
    </row>
    <row r="28" customFormat="false" ht="42" hidden="false" customHeight="true" outlineLevel="0" collapsed="false">
      <c r="A28" s="2" t="s">
        <v>168</v>
      </c>
      <c r="B28" s="2"/>
      <c r="C28" s="2"/>
      <c r="D28" s="2"/>
      <c r="E28" s="2"/>
    </row>
  </sheetData>
  <mergeCells count="1">
    <mergeCell ref="A28:E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4"/>
    <col collapsed="false" customWidth="true" hidden="false" outlineLevel="0" max="3" min="3" style="0" width="52"/>
    <col collapsed="false" customWidth="true" hidden="false" outlineLevel="0" max="4" min="4" style="0" width="66"/>
  </cols>
  <sheetData>
    <row r="1" customFormat="false" ht="17.35" hidden="false" customHeight="false" outlineLevel="0" collapsed="false">
      <c r="A1" s="1" t="s">
        <v>169</v>
      </c>
    </row>
    <row r="2" customFormat="false" ht="15" hidden="false" customHeight="false" outlineLevel="0" collapsed="false">
      <c r="A2" s="12" t="s">
        <v>170</v>
      </c>
    </row>
    <row r="4" customFormat="false" ht="15" hidden="false" customHeight="false" outlineLevel="0" collapsed="false">
      <c r="A4" s="3" t="s">
        <v>171</v>
      </c>
      <c r="B4" s="3" t="s">
        <v>172</v>
      </c>
      <c r="C4" s="3" t="s">
        <v>173</v>
      </c>
      <c r="D4" s="3" t="s">
        <v>174</v>
      </c>
    </row>
    <row r="5" customFormat="false" ht="91.5" hidden="false" customHeight="true" outlineLevel="0" collapsed="false">
      <c r="A5" s="5" t="s">
        <v>175</v>
      </c>
      <c r="B5" s="5" t="s">
        <v>176</v>
      </c>
      <c r="C5" s="5" t="s">
        <v>177</v>
      </c>
      <c r="D5" s="5" t="s">
        <v>178</v>
      </c>
    </row>
    <row r="6" customFormat="false" ht="91.5" hidden="false" customHeight="true" outlineLevel="0" collapsed="false">
      <c r="A6" s="5" t="s">
        <v>179</v>
      </c>
      <c r="B6" s="5" t="s">
        <v>180</v>
      </c>
      <c r="C6" s="5" t="s">
        <v>181</v>
      </c>
      <c r="D6" s="5" t="s">
        <v>182</v>
      </c>
    </row>
    <row r="7" customFormat="false" ht="91.5" hidden="false" customHeight="true" outlineLevel="0" collapsed="false">
      <c r="A7" s="5" t="s">
        <v>183</v>
      </c>
      <c r="B7" s="5" t="s">
        <v>184</v>
      </c>
      <c r="C7" s="5" t="s">
        <v>185</v>
      </c>
      <c r="D7" s="5" t="s">
        <v>186</v>
      </c>
    </row>
    <row r="8" customFormat="false" ht="91.5" hidden="false" customHeight="true" outlineLevel="0" collapsed="false">
      <c r="A8" s="5" t="s">
        <v>187</v>
      </c>
      <c r="B8" s="5" t="s">
        <v>188</v>
      </c>
      <c r="C8" s="5" t="s">
        <v>189</v>
      </c>
      <c r="D8" s="5" t="s">
        <v>190</v>
      </c>
    </row>
    <row r="9" customFormat="false" ht="91.5" hidden="false" customHeight="true" outlineLevel="0" collapsed="false">
      <c r="A9" s="5" t="s">
        <v>191</v>
      </c>
      <c r="B9" s="5" t="s">
        <v>192</v>
      </c>
      <c r="C9" s="5" t="s">
        <v>193</v>
      </c>
      <c r="D9" s="5" t="s">
        <v>194</v>
      </c>
    </row>
    <row r="10" customFormat="false" ht="91.5" hidden="false" customHeight="true" outlineLevel="0" collapsed="false">
      <c r="A10" s="5" t="s">
        <v>195</v>
      </c>
      <c r="B10" s="5" t="s">
        <v>196</v>
      </c>
      <c r="C10" s="5" t="s">
        <v>197</v>
      </c>
      <c r="D10" s="5" t="s">
        <v>198</v>
      </c>
    </row>
    <row r="11" customFormat="false" ht="91.5" hidden="false" customHeight="true" outlineLevel="0" collapsed="false">
      <c r="A11" s="5" t="s">
        <v>199</v>
      </c>
      <c r="B11" s="5" t="s">
        <v>200</v>
      </c>
      <c r="C11" s="5" t="s">
        <v>201</v>
      </c>
      <c r="D11" s="5" t="s">
        <v>202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0"/>
  </cols>
  <sheetData>
    <row r="1" customFormat="false" ht="17.35" hidden="false" customHeight="false" outlineLevel="0" collapsed="false">
      <c r="A1" s="1" t="s">
        <v>203</v>
      </c>
    </row>
    <row r="3" customFormat="false" ht="15" hidden="false" customHeight="false" outlineLevel="0" collapsed="false">
      <c r="A3" s="3" t="s">
        <v>204</v>
      </c>
      <c r="B3" s="3" t="s">
        <v>205</v>
      </c>
    </row>
    <row r="4" customFormat="false" ht="48" hidden="false" customHeight="true" outlineLevel="0" collapsed="false">
      <c r="A4" s="23" t="s">
        <v>206</v>
      </c>
      <c r="B4" s="5" t="s">
        <v>207</v>
      </c>
    </row>
    <row r="5" customFormat="false" ht="48" hidden="false" customHeight="true" outlineLevel="0" collapsed="false">
      <c r="A5" s="23" t="s">
        <v>206</v>
      </c>
      <c r="B5" s="5" t="s">
        <v>208</v>
      </c>
    </row>
    <row r="6" customFormat="false" ht="48" hidden="false" customHeight="true" outlineLevel="0" collapsed="false">
      <c r="A6" s="23" t="s">
        <v>209</v>
      </c>
      <c r="B6" s="5" t="s">
        <v>210</v>
      </c>
    </row>
    <row r="7" customFormat="false" ht="48" hidden="false" customHeight="true" outlineLevel="0" collapsed="false">
      <c r="A7" s="23" t="s">
        <v>209</v>
      </c>
      <c r="B7" s="5" t="s">
        <v>211</v>
      </c>
    </row>
    <row r="8" customFormat="false" ht="48" hidden="false" customHeight="true" outlineLevel="0" collapsed="false">
      <c r="A8" s="23" t="s">
        <v>209</v>
      </c>
      <c r="B8" s="5" t="s">
        <v>212</v>
      </c>
    </row>
    <row r="9" customFormat="false" ht="48" hidden="false" customHeight="true" outlineLevel="0" collapsed="false">
      <c r="A9" s="23" t="s">
        <v>213</v>
      </c>
      <c r="B9" s="5" t="s">
        <v>214</v>
      </c>
    </row>
    <row r="10" customFormat="false" ht="48" hidden="false" customHeight="true" outlineLevel="0" collapsed="false">
      <c r="A10" s="23" t="s">
        <v>17</v>
      </c>
      <c r="B10" s="5" t="s">
        <v>215</v>
      </c>
    </row>
    <row r="11" customFormat="false" ht="48" hidden="false" customHeight="true" outlineLevel="0" collapsed="false">
      <c r="A11" s="23" t="s">
        <v>216</v>
      </c>
      <c r="B11" s="5" t="s">
        <v>217</v>
      </c>
    </row>
    <row r="12" customFormat="false" ht="48" hidden="false" customHeight="true" outlineLevel="0" collapsed="false">
      <c r="A12" s="23" t="s">
        <v>216</v>
      </c>
      <c r="B12" s="5" t="s">
        <v>218</v>
      </c>
    </row>
    <row r="13" customFormat="false" ht="48" hidden="false" customHeight="true" outlineLevel="0" collapsed="false">
      <c r="A13" s="23" t="s">
        <v>219</v>
      </c>
      <c r="B13" s="5" t="s">
        <v>220</v>
      </c>
    </row>
    <row r="14" customFormat="false" ht="48" hidden="false" customHeight="true" outlineLevel="0" collapsed="false">
      <c r="A14" s="23" t="s">
        <v>209</v>
      </c>
      <c r="B14" s="5" t="s">
        <v>221</v>
      </c>
    </row>
    <row r="15" customFormat="false" ht="48" hidden="false" customHeight="true" outlineLevel="0" collapsed="false">
      <c r="A15" s="23" t="s">
        <v>222</v>
      </c>
      <c r="B15" s="5" t="s">
        <v>223</v>
      </c>
    </row>
    <row r="16" customFormat="false" ht="48" hidden="false" customHeight="true" outlineLevel="0" collapsed="false">
      <c r="A16" s="23" t="s">
        <v>222</v>
      </c>
      <c r="B16" s="5" t="s">
        <v>224</v>
      </c>
    </row>
    <row r="17" customFormat="false" ht="48" hidden="false" customHeight="true" outlineLevel="0" collapsed="false">
      <c r="A17" s="23" t="s">
        <v>219</v>
      </c>
      <c r="B17" s="5" t="s">
        <v>225</v>
      </c>
    </row>
    <row r="18" customFormat="false" ht="48" hidden="false" customHeight="true" outlineLevel="0" collapsed="false">
      <c r="A18" s="23" t="s">
        <v>219</v>
      </c>
      <c r="B18" s="5" t="s">
        <v>226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2026-10-10T13:48:26Z</dcterms:created>
  <dc:creator>openpyxl</dc:creator>
  <dc:description/>
  <dc:language>en-US</dc:language>
  <cp:lastModifiedBy/>
  <dcterms:modified xsi:type="dcterms:W3CDTF">2026-10-10T13:48:26Z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